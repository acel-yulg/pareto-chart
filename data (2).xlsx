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Project Ashghal 2026\Reports\Weekly Report\Weekly Report\2026-05-02\"/>
    </mc:Choice>
  </mc:AlternateContent>
  <xr:revisionPtr revIDLastSave="0" documentId="13_ncr:1_{1DAD3A3B-FCE3-4C15-B72F-79D000108E17}" xr6:coauthVersionLast="47" xr6:coauthVersionMax="47" xr10:uidLastSave="{00000000-0000-0000-0000-000000000000}"/>
  <bookViews>
    <workbookView xWindow="20370" yWindow="-120" windowWidth="25440" windowHeight="15390" xr2:uid="{00000000-000D-0000-FFFF-FFFF00000000}"/>
  </bookViews>
  <sheets>
    <sheet name="WAN" sheetId="1" r:id="rId1"/>
    <sheet name="SLA Week" sheetId="3" state="hidden" r:id="rId2"/>
    <sheet name="SLA Month" sheetId="4" state="hidden" r:id="rId3"/>
  </sheets>
  <definedNames>
    <definedName name="_xlnm._FilterDatabase" localSheetId="0" hidden="1">WAN!$A$1:$AB$175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hEfpehmOH0P8HTrles97MtBmyiCkhnuqX+OvWK+Oc/M="/>
    </ext>
  </extLst>
</workbook>
</file>

<file path=xl/calcChain.xml><?xml version="1.0" encoding="utf-8"?>
<calcChain xmlns="http://schemas.openxmlformats.org/spreadsheetml/2006/main">
  <c r="U241" i="1" l="1"/>
  <c r="T241" i="1"/>
  <c r="Q241" i="1"/>
  <c r="U240" i="1"/>
  <c r="T240" i="1"/>
  <c r="Q240" i="1"/>
  <c r="U239" i="1"/>
  <c r="T239" i="1"/>
  <c r="Q239" i="1"/>
  <c r="U238" i="1"/>
  <c r="T238" i="1"/>
  <c r="Q238" i="1"/>
  <c r="U237" i="1"/>
  <c r="T237" i="1"/>
  <c r="Q237" i="1"/>
  <c r="U236" i="1"/>
  <c r="T236" i="1"/>
  <c r="Q236" i="1"/>
  <c r="U235" i="1"/>
  <c r="T235" i="1"/>
  <c r="Q235" i="1"/>
  <c r="U234" i="1"/>
  <c r="T234" i="1"/>
  <c r="Q234" i="1"/>
  <c r="U233" i="1"/>
  <c r="T233" i="1"/>
  <c r="Q233" i="1"/>
  <c r="U232" i="1"/>
  <c r="T232" i="1"/>
  <c r="Q232" i="1"/>
  <c r="U231" i="1"/>
  <c r="T231" i="1"/>
  <c r="Q231" i="1"/>
  <c r="U230" i="1"/>
  <c r="T230" i="1"/>
  <c r="Q230" i="1"/>
  <c r="U229" i="1"/>
  <c r="T229" i="1"/>
  <c r="Q229" i="1"/>
  <c r="U228" i="1"/>
  <c r="T228" i="1"/>
  <c r="Q228" i="1"/>
  <c r="U227" i="1"/>
  <c r="T227" i="1"/>
  <c r="Q227" i="1"/>
  <c r="U226" i="1"/>
  <c r="T226" i="1"/>
  <c r="Q226" i="1"/>
  <c r="U225" i="1"/>
  <c r="T225" i="1"/>
  <c r="Q225" i="1"/>
  <c r="U224" i="1"/>
  <c r="T224" i="1"/>
  <c r="Q224" i="1"/>
  <c r="U223" i="1"/>
  <c r="T223" i="1"/>
  <c r="Q223" i="1"/>
  <c r="U222" i="1"/>
  <c r="T222" i="1"/>
  <c r="Q222" i="1"/>
  <c r="U221" i="1"/>
  <c r="T221" i="1"/>
  <c r="Q221" i="1"/>
  <c r="U220" i="1"/>
  <c r="T220" i="1"/>
  <c r="Q220" i="1"/>
  <c r="U219" i="1"/>
  <c r="T219" i="1"/>
  <c r="Q219" i="1"/>
  <c r="U218" i="1"/>
  <c r="T218" i="1"/>
  <c r="Q218" i="1"/>
  <c r="U217" i="1"/>
  <c r="T217" i="1"/>
  <c r="Q217" i="1"/>
  <c r="U216" i="1"/>
  <c r="T216" i="1"/>
  <c r="Q216" i="1"/>
  <c r="U215" i="1"/>
  <c r="T215" i="1"/>
  <c r="Q215" i="1"/>
  <c r="U214" i="1"/>
  <c r="T214" i="1"/>
  <c r="Q214" i="1"/>
  <c r="U213" i="1"/>
  <c r="T213" i="1"/>
  <c r="Q213" i="1"/>
  <c r="U212" i="1"/>
  <c r="T212" i="1"/>
  <c r="Q212" i="1"/>
  <c r="U211" i="1"/>
  <c r="T211" i="1"/>
  <c r="Q211" i="1"/>
  <c r="U210" i="1"/>
  <c r="T210" i="1"/>
  <c r="Q210" i="1"/>
  <c r="U209" i="1"/>
  <c r="T209" i="1"/>
  <c r="Q209" i="1"/>
  <c r="U208" i="1"/>
  <c r="T208" i="1"/>
  <c r="Q208" i="1"/>
  <c r="U207" i="1"/>
  <c r="T207" i="1"/>
  <c r="Q207" i="1"/>
  <c r="U206" i="1"/>
  <c r="T206" i="1"/>
  <c r="Q206" i="1"/>
  <c r="U205" i="1"/>
  <c r="T205" i="1"/>
  <c r="Q205" i="1"/>
  <c r="U204" i="1"/>
  <c r="T204" i="1"/>
  <c r="Q204" i="1"/>
  <c r="U203" i="1"/>
  <c r="T203" i="1"/>
  <c r="Q203" i="1"/>
  <c r="U202" i="1"/>
  <c r="T202" i="1"/>
  <c r="Q202" i="1"/>
  <c r="U201" i="1"/>
  <c r="T201" i="1"/>
  <c r="Q201" i="1"/>
  <c r="U200" i="1"/>
  <c r="T200" i="1"/>
  <c r="Q200" i="1"/>
  <c r="U199" i="1"/>
  <c r="T199" i="1"/>
  <c r="Q199" i="1"/>
  <c r="U198" i="1"/>
  <c r="T198" i="1"/>
  <c r="Q198" i="1"/>
  <c r="U197" i="1"/>
  <c r="T197" i="1"/>
  <c r="Q197" i="1"/>
  <c r="U196" i="1"/>
  <c r="T196" i="1"/>
  <c r="Q196" i="1"/>
  <c r="U195" i="1"/>
  <c r="T195" i="1"/>
  <c r="Q195" i="1"/>
  <c r="U194" i="1"/>
  <c r="T194" i="1"/>
  <c r="Q194" i="1"/>
  <c r="U193" i="1"/>
  <c r="T193" i="1"/>
  <c r="Q193" i="1"/>
  <c r="U192" i="1"/>
  <c r="T192" i="1"/>
  <c r="Q192" i="1"/>
  <c r="U191" i="1"/>
  <c r="T191" i="1"/>
  <c r="Q191" i="1"/>
  <c r="U190" i="1"/>
  <c r="T190" i="1"/>
  <c r="Q190" i="1"/>
  <c r="U189" i="1"/>
  <c r="T189" i="1"/>
  <c r="Q189" i="1"/>
  <c r="U188" i="1"/>
  <c r="T188" i="1"/>
  <c r="Q188" i="1"/>
  <c r="U187" i="1"/>
  <c r="T187" i="1"/>
  <c r="Q187" i="1"/>
  <c r="U186" i="1"/>
  <c r="T186" i="1"/>
  <c r="Q186" i="1"/>
  <c r="U185" i="1"/>
  <c r="T185" i="1"/>
  <c r="Q185" i="1"/>
  <c r="U184" i="1"/>
  <c r="T184" i="1"/>
  <c r="Q184" i="1"/>
  <c r="U183" i="1"/>
  <c r="T183" i="1"/>
  <c r="Q183" i="1"/>
  <c r="U182" i="1"/>
  <c r="T182" i="1"/>
  <c r="Q182" i="1"/>
  <c r="U181" i="1"/>
  <c r="T181" i="1"/>
  <c r="Q181" i="1"/>
  <c r="U180" i="1"/>
  <c r="T180" i="1"/>
  <c r="Q180" i="1"/>
  <c r="U179" i="1"/>
  <c r="T179" i="1"/>
  <c r="Q179" i="1"/>
  <c r="U178" i="1"/>
  <c r="T178" i="1"/>
  <c r="Q178" i="1"/>
  <c r="U177" i="1"/>
  <c r="T177" i="1"/>
  <c r="Q177" i="1"/>
  <c r="U176" i="1"/>
  <c r="T176" i="1"/>
  <c r="Q176" i="1"/>
  <c r="U175" i="1"/>
  <c r="T175" i="1"/>
  <c r="Q175" i="1"/>
  <c r="U174" i="1"/>
  <c r="T174" i="1"/>
  <c r="Q174" i="1"/>
  <c r="U173" i="1"/>
  <c r="T173" i="1"/>
  <c r="Q173" i="1"/>
  <c r="U172" i="1"/>
  <c r="T172" i="1"/>
  <c r="Q172" i="1"/>
  <c r="U171" i="1"/>
  <c r="T171" i="1"/>
  <c r="Q171" i="1"/>
  <c r="U170" i="1"/>
  <c r="T170" i="1"/>
  <c r="Q170" i="1"/>
  <c r="U169" i="1"/>
  <c r="T169" i="1"/>
  <c r="Q169" i="1"/>
  <c r="U168" i="1"/>
  <c r="T168" i="1"/>
  <c r="Q168" i="1"/>
  <c r="U167" i="1"/>
  <c r="T167" i="1"/>
  <c r="Q167" i="1"/>
  <c r="U166" i="1"/>
  <c r="T166" i="1"/>
  <c r="Q166" i="1"/>
  <c r="U165" i="1"/>
  <c r="T165" i="1"/>
  <c r="Q165" i="1"/>
  <c r="U164" i="1"/>
  <c r="T164" i="1"/>
  <c r="Q164" i="1"/>
  <c r="U163" i="1"/>
  <c r="T163" i="1"/>
  <c r="Q163" i="1"/>
  <c r="U162" i="1"/>
  <c r="T162" i="1"/>
  <c r="Q162" i="1"/>
  <c r="U161" i="1"/>
  <c r="T161" i="1"/>
  <c r="Q161" i="1"/>
  <c r="U160" i="1"/>
  <c r="T160" i="1"/>
  <c r="Q160" i="1"/>
  <c r="U159" i="1"/>
  <c r="T159" i="1"/>
  <c r="Q159" i="1"/>
  <c r="U158" i="1"/>
  <c r="T158" i="1"/>
  <c r="Q158" i="1"/>
  <c r="U157" i="1"/>
  <c r="T157" i="1"/>
  <c r="Q157" i="1"/>
  <c r="U156" i="1"/>
  <c r="T156" i="1"/>
  <c r="Q156" i="1"/>
  <c r="U155" i="1"/>
  <c r="T155" i="1"/>
  <c r="Q155" i="1"/>
  <c r="U154" i="1"/>
  <c r="T154" i="1"/>
  <c r="Q154" i="1"/>
  <c r="U153" i="1"/>
  <c r="T153" i="1"/>
  <c r="Q153" i="1"/>
  <c r="U152" i="1"/>
  <c r="T152" i="1"/>
  <c r="Q152" i="1"/>
  <c r="U151" i="1"/>
  <c r="T151" i="1"/>
  <c r="Q151" i="1"/>
  <c r="U150" i="1"/>
  <c r="T150" i="1"/>
  <c r="Q150" i="1"/>
  <c r="U149" i="1"/>
  <c r="T149" i="1"/>
  <c r="Q149" i="1"/>
  <c r="U148" i="1"/>
  <c r="T148" i="1"/>
  <c r="Q148" i="1"/>
  <c r="U147" i="1"/>
  <c r="T147" i="1"/>
  <c r="Q147" i="1"/>
  <c r="U146" i="1"/>
  <c r="T146" i="1"/>
  <c r="Q146" i="1"/>
  <c r="U145" i="1"/>
  <c r="T145" i="1"/>
  <c r="Q145" i="1"/>
  <c r="U144" i="1"/>
  <c r="T144" i="1"/>
  <c r="Q144" i="1"/>
  <c r="U143" i="1"/>
  <c r="T143" i="1"/>
  <c r="Q143" i="1"/>
  <c r="U142" i="1"/>
  <c r="T142" i="1"/>
  <c r="Q142" i="1"/>
  <c r="U141" i="1"/>
  <c r="T141" i="1"/>
  <c r="Q141" i="1"/>
  <c r="U140" i="1"/>
  <c r="T140" i="1"/>
  <c r="Q140" i="1"/>
  <c r="U139" i="1"/>
  <c r="T139" i="1"/>
  <c r="Q139" i="1"/>
  <c r="U138" i="1"/>
  <c r="T138" i="1"/>
  <c r="Q138" i="1"/>
  <c r="U137" i="1"/>
  <c r="T137" i="1"/>
  <c r="Q137" i="1"/>
  <c r="U136" i="1"/>
  <c r="T136" i="1"/>
  <c r="Q136" i="1"/>
  <c r="U135" i="1"/>
  <c r="T135" i="1"/>
  <c r="Q135" i="1"/>
  <c r="U134" i="1"/>
  <c r="T134" i="1"/>
  <c r="Q134" i="1"/>
  <c r="U133" i="1"/>
  <c r="T133" i="1"/>
  <c r="Q133" i="1"/>
  <c r="U132" i="1"/>
  <c r="T132" i="1"/>
  <c r="Q132" i="1"/>
  <c r="U131" i="1"/>
  <c r="T131" i="1"/>
  <c r="Q131" i="1"/>
  <c r="U130" i="1"/>
  <c r="T130" i="1"/>
  <c r="Q130" i="1"/>
  <c r="U129" i="1"/>
  <c r="T129" i="1"/>
  <c r="Q129" i="1"/>
  <c r="U128" i="1"/>
  <c r="T128" i="1"/>
  <c r="Q128" i="1"/>
  <c r="U127" i="1"/>
  <c r="T127" i="1"/>
  <c r="Q127" i="1"/>
  <c r="U126" i="1"/>
  <c r="T126" i="1"/>
  <c r="Q126" i="1"/>
  <c r="U125" i="1"/>
  <c r="T125" i="1"/>
  <c r="Q125" i="1"/>
  <c r="U124" i="1"/>
  <c r="T124" i="1"/>
  <c r="Q124" i="1"/>
  <c r="U123" i="1"/>
  <c r="T123" i="1"/>
  <c r="Q123" i="1"/>
  <c r="U122" i="1"/>
  <c r="T122" i="1"/>
  <c r="Q122" i="1"/>
  <c r="U121" i="1"/>
  <c r="T121" i="1"/>
  <c r="Q121" i="1"/>
  <c r="U120" i="1"/>
  <c r="T120" i="1"/>
  <c r="Q120" i="1"/>
  <c r="U119" i="1"/>
  <c r="T119" i="1"/>
  <c r="Q119" i="1"/>
  <c r="U118" i="1"/>
  <c r="T118" i="1"/>
  <c r="Q118" i="1"/>
  <c r="U117" i="1"/>
  <c r="T117" i="1"/>
  <c r="Q117" i="1"/>
  <c r="U116" i="1"/>
  <c r="T116" i="1"/>
  <c r="Q116" i="1"/>
  <c r="U115" i="1"/>
  <c r="T115" i="1"/>
  <c r="Q115" i="1"/>
  <c r="U114" i="1"/>
  <c r="T114" i="1"/>
  <c r="Q114" i="1"/>
  <c r="U113" i="1"/>
  <c r="T113" i="1"/>
  <c r="Q113" i="1"/>
  <c r="U112" i="1"/>
  <c r="T112" i="1"/>
  <c r="Q112" i="1"/>
  <c r="U111" i="1"/>
  <c r="T111" i="1"/>
  <c r="Q111" i="1"/>
  <c r="U110" i="1"/>
  <c r="T110" i="1"/>
  <c r="Q110" i="1"/>
  <c r="U109" i="1"/>
  <c r="T109" i="1"/>
  <c r="Q109" i="1"/>
  <c r="U108" i="1"/>
  <c r="T108" i="1"/>
  <c r="Q108" i="1"/>
  <c r="U107" i="1"/>
  <c r="T107" i="1"/>
  <c r="Q107" i="1"/>
  <c r="U106" i="1"/>
  <c r="T106" i="1"/>
  <c r="Q106" i="1"/>
  <c r="U105" i="1"/>
  <c r="T105" i="1"/>
  <c r="Q105" i="1"/>
  <c r="U104" i="1"/>
  <c r="T104" i="1"/>
  <c r="Q104" i="1"/>
  <c r="U103" i="1"/>
  <c r="T103" i="1"/>
  <c r="Q103" i="1"/>
  <c r="U102" i="1"/>
  <c r="T102" i="1"/>
  <c r="Q102" i="1"/>
  <c r="U101" i="1"/>
  <c r="T101" i="1"/>
  <c r="Q101" i="1"/>
  <c r="U100" i="1"/>
  <c r="T100" i="1"/>
  <c r="Q100" i="1"/>
  <c r="U99" i="1"/>
  <c r="T99" i="1"/>
  <c r="Q99" i="1"/>
  <c r="U98" i="1"/>
  <c r="T98" i="1"/>
  <c r="Q98" i="1"/>
  <c r="U97" i="1"/>
  <c r="T97" i="1"/>
  <c r="Q97" i="1"/>
  <c r="U96" i="1"/>
  <c r="T96" i="1"/>
  <c r="Q96" i="1"/>
  <c r="U95" i="1"/>
  <c r="T95" i="1"/>
  <c r="Q95" i="1"/>
  <c r="U94" i="1"/>
  <c r="T94" i="1"/>
  <c r="Q94" i="1"/>
  <c r="U93" i="1"/>
  <c r="T93" i="1"/>
  <c r="Q93" i="1"/>
  <c r="U92" i="1"/>
  <c r="T92" i="1"/>
  <c r="Q92" i="1"/>
  <c r="U91" i="1"/>
  <c r="T91" i="1"/>
  <c r="Q91" i="1"/>
  <c r="U90" i="1"/>
  <c r="T90" i="1"/>
  <c r="Q90" i="1"/>
  <c r="U89" i="1"/>
  <c r="T89" i="1"/>
  <c r="Q89" i="1"/>
  <c r="U88" i="1"/>
  <c r="T88" i="1"/>
  <c r="Q88" i="1"/>
  <c r="U87" i="1"/>
  <c r="T87" i="1"/>
  <c r="Q87" i="1"/>
  <c r="U86" i="1"/>
  <c r="T86" i="1"/>
  <c r="Q86" i="1"/>
  <c r="U85" i="1"/>
  <c r="T85" i="1"/>
  <c r="Q85" i="1"/>
  <c r="U84" i="1"/>
  <c r="T84" i="1"/>
  <c r="Q84" i="1"/>
  <c r="U83" i="1"/>
  <c r="T83" i="1"/>
  <c r="Q83" i="1"/>
  <c r="U82" i="1"/>
  <c r="T82" i="1"/>
  <c r="Q82" i="1"/>
  <c r="U81" i="1"/>
  <c r="T81" i="1"/>
  <c r="Q81" i="1"/>
  <c r="U80" i="1"/>
  <c r="T80" i="1"/>
  <c r="Q80" i="1"/>
  <c r="U79" i="1"/>
  <c r="T79" i="1"/>
  <c r="Q79" i="1"/>
  <c r="U78" i="1"/>
  <c r="T78" i="1"/>
  <c r="Q78" i="1"/>
  <c r="U77" i="1"/>
  <c r="T77" i="1"/>
  <c r="Q77" i="1"/>
  <c r="U76" i="1"/>
  <c r="T76" i="1"/>
  <c r="Q76" i="1"/>
  <c r="U75" i="1"/>
  <c r="T75" i="1"/>
  <c r="Q75" i="1"/>
  <c r="U74" i="1"/>
  <c r="T74" i="1"/>
  <c r="Q74" i="1"/>
  <c r="U73" i="1"/>
  <c r="T73" i="1"/>
  <c r="Q73" i="1"/>
  <c r="U72" i="1"/>
  <c r="T72" i="1"/>
  <c r="Q72" i="1"/>
  <c r="U71" i="1"/>
  <c r="T71" i="1"/>
  <c r="Q71" i="1"/>
  <c r="U70" i="1"/>
  <c r="T70" i="1"/>
  <c r="Q70" i="1"/>
  <c r="U69" i="1"/>
  <c r="T69" i="1"/>
  <c r="Q69" i="1"/>
  <c r="U68" i="1"/>
  <c r="T68" i="1"/>
  <c r="Q68" i="1"/>
  <c r="U67" i="1"/>
  <c r="T67" i="1"/>
  <c r="Q67" i="1"/>
  <c r="U66" i="1"/>
  <c r="T66" i="1"/>
  <c r="Q66" i="1"/>
  <c r="U65" i="1"/>
  <c r="T65" i="1"/>
  <c r="Q65" i="1"/>
  <c r="U64" i="1"/>
  <c r="T64" i="1"/>
  <c r="Q64" i="1"/>
  <c r="U63" i="1"/>
  <c r="T63" i="1"/>
  <c r="Q63" i="1"/>
  <c r="U62" i="1"/>
  <c r="T62" i="1"/>
  <c r="Q62" i="1"/>
  <c r="U61" i="1"/>
  <c r="T61" i="1"/>
  <c r="Q61" i="1"/>
  <c r="U60" i="1"/>
  <c r="T60" i="1"/>
  <c r="Q60" i="1"/>
  <c r="U59" i="1"/>
  <c r="T59" i="1"/>
  <c r="Q59" i="1"/>
  <c r="U58" i="1"/>
  <c r="T58" i="1"/>
  <c r="Q58" i="1"/>
  <c r="U57" i="1"/>
  <c r="T57" i="1"/>
  <c r="Q57" i="1"/>
  <c r="U56" i="1"/>
  <c r="T56" i="1"/>
  <c r="Q56" i="1"/>
  <c r="U55" i="1"/>
  <c r="T55" i="1"/>
  <c r="Q55" i="1"/>
  <c r="U54" i="1"/>
  <c r="T54" i="1"/>
  <c r="Q54" i="1"/>
  <c r="U53" i="1"/>
  <c r="T53" i="1"/>
  <c r="Q53" i="1"/>
  <c r="U52" i="1"/>
  <c r="T52" i="1"/>
  <c r="Q52" i="1"/>
  <c r="U51" i="1"/>
  <c r="T51" i="1"/>
  <c r="Q51" i="1"/>
  <c r="U50" i="1"/>
  <c r="T50" i="1"/>
  <c r="Q50" i="1"/>
  <c r="U49" i="1"/>
  <c r="T49" i="1"/>
  <c r="Q49" i="1"/>
  <c r="U48" i="1"/>
  <c r="T48" i="1"/>
  <c r="Q48" i="1"/>
  <c r="U47" i="1"/>
  <c r="T47" i="1"/>
  <c r="Q47" i="1"/>
  <c r="U46" i="1"/>
  <c r="T46" i="1"/>
  <c r="Q46" i="1"/>
  <c r="U45" i="1"/>
  <c r="T45" i="1"/>
  <c r="Q45" i="1"/>
  <c r="U44" i="1"/>
  <c r="T44" i="1"/>
  <c r="Q44" i="1"/>
  <c r="U43" i="1"/>
  <c r="T43" i="1"/>
  <c r="Q43" i="1"/>
  <c r="U42" i="1"/>
  <c r="T42" i="1"/>
  <c r="Q42" i="1"/>
  <c r="U41" i="1"/>
  <c r="T41" i="1"/>
  <c r="Q41" i="1"/>
  <c r="U40" i="1"/>
  <c r="T40" i="1"/>
  <c r="Q40" i="1"/>
  <c r="U39" i="1"/>
  <c r="T39" i="1"/>
  <c r="Q39" i="1"/>
  <c r="U38" i="1"/>
  <c r="T38" i="1"/>
  <c r="Q38" i="1"/>
  <c r="U37" i="1"/>
  <c r="T37" i="1"/>
  <c r="Q37" i="1"/>
  <c r="U36" i="1"/>
  <c r="T36" i="1"/>
  <c r="Q36" i="1"/>
  <c r="U35" i="1"/>
  <c r="T35" i="1"/>
  <c r="Q35" i="1"/>
  <c r="U34" i="1"/>
  <c r="T34" i="1"/>
  <c r="Q34" i="1"/>
  <c r="U33" i="1"/>
  <c r="T33" i="1"/>
  <c r="Q33" i="1"/>
  <c r="U32" i="1"/>
  <c r="T32" i="1"/>
  <c r="Q32" i="1"/>
  <c r="U31" i="1"/>
  <c r="T31" i="1"/>
  <c r="Q31" i="1"/>
  <c r="U30" i="1"/>
  <c r="T30" i="1"/>
  <c r="Q30" i="1"/>
  <c r="U29" i="1"/>
  <c r="T29" i="1"/>
  <c r="Q29" i="1"/>
  <c r="U28" i="1"/>
  <c r="T28" i="1"/>
  <c r="Q28" i="1"/>
  <c r="U27" i="1"/>
  <c r="T27" i="1"/>
  <c r="Q27" i="1"/>
  <c r="U26" i="1"/>
  <c r="T26" i="1"/>
  <c r="Q26" i="1"/>
  <c r="U25" i="1"/>
  <c r="T25" i="1"/>
  <c r="Q25" i="1"/>
  <c r="U24" i="1"/>
  <c r="T24" i="1"/>
  <c r="Q24" i="1"/>
  <c r="U23" i="1"/>
  <c r="T23" i="1"/>
  <c r="Q23" i="1"/>
  <c r="U22" i="1"/>
  <c r="T22" i="1"/>
  <c r="Q22" i="1"/>
  <c r="U21" i="1"/>
  <c r="T21" i="1"/>
  <c r="Q21" i="1"/>
  <c r="U20" i="1"/>
  <c r="T20" i="1"/>
  <c r="Q20" i="1"/>
  <c r="U19" i="1"/>
  <c r="T19" i="1"/>
  <c r="Q19" i="1"/>
  <c r="U18" i="1"/>
  <c r="T18" i="1"/>
  <c r="Q18" i="1"/>
  <c r="U17" i="1"/>
  <c r="T17" i="1"/>
  <c r="Q17" i="1"/>
  <c r="U16" i="1"/>
  <c r="T16" i="1"/>
  <c r="Q16" i="1"/>
  <c r="U15" i="1"/>
  <c r="T15" i="1"/>
  <c r="Q15" i="1"/>
  <c r="U14" i="1"/>
  <c r="T14" i="1"/>
  <c r="Q14" i="1"/>
  <c r="U13" i="1"/>
  <c r="T13" i="1"/>
  <c r="Q13" i="1"/>
  <c r="U12" i="1"/>
  <c r="T12" i="1"/>
  <c r="Q12" i="1"/>
  <c r="U11" i="1"/>
  <c r="T11" i="1"/>
  <c r="Q11" i="1"/>
  <c r="U10" i="1"/>
  <c r="T10" i="1"/>
  <c r="Q10" i="1"/>
  <c r="U9" i="1"/>
  <c r="T9" i="1"/>
  <c r="Q9" i="1"/>
  <c r="U8" i="1"/>
  <c r="T8" i="1"/>
  <c r="Q8" i="1"/>
  <c r="U7" i="1"/>
  <c r="T7" i="1"/>
  <c r="Q7" i="1"/>
  <c r="U6" i="1"/>
  <c r="T6" i="1"/>
  <c r="Q6" i="1"/>
  <c r="U5" i="1"/>
  <c r="T5" i="1"/>
  <c r="Q5" i="1"/>
  <c r="U4" i="1"/>
  <c r="T4" i="1"/>
  <c r="Q4" i="1"/>
  <c r="U3" i="1"/>
  <c r="T3" i="1"/>
  <c r="Q3" i="1"/>
  <c r="U2" i="1"/>
  <c r="T2" i="1"/>
  <c r="Q2" i="1"/>
</calcChain>
</file>

<file path=xl/sharedStrings.xml><?xml version="1.0" encoding="utf-8"?>
<sst xmlns="http://schemas.openxmlformats.org/spreadsheetml/2006/main" count="4253" uniqueCount="989">
  <si>
    <t>SN</t>
  </si>
  <si>
    <t>Ticket No</t>
  </si>
  <si>
    <t>W/O</t>
  </si>
  <si>
    <t>Date</t>
  </si>
  <si>
    <t>NOC WAN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</si>
  <si>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</si>
  <si>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</si>
  <si>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</si>
  <si>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</si>
  <si>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</si>
  <si>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</si>
  <si>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</si>
  <si>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</si>
  <si>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</si>
  <si>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</si>
  <si>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</si>
  <si>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</si>
  <si>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</si>
  <si>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</si>
  <si>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</si>
  <si>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</si>
  <si>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</si>
  <si>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</si>
  <si>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</si>
  <si>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</si>
  <si>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</si>
  <si>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</si>
  <si>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</si>
  <si>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</si>
  <si>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t>
  </si>
  <si>
    <t>Node Down</t>
  </si>
  <si>
    <t>Network down</t>
  </si>
  <si>
    <t>FLM visited the site and confirmed that Kahramaa power was not available at the cabinet.</t>
  </si>
  <si>
    <t>P010-ENC61-CE-01</t>
  </si>
  <si>
    <t>Zone 57</t>
  </si>
  <si>
    <t>51.4699752, 25.170097</t>
  </si>
  <si>
    <t>Outside Doha</t>
  </si>
  <si>
    <t>Critical</t>
  </si>
  <si>
    <t xml:space="preserve"> Power was restored by Kahramaa after 5 hours and 17 minutes.Network was up.</t>
  </si>
  <si>
    <t>Completed</t>
  </si>
  <si>
    <t>Non-maintainer</t>
  </si>
  <si>
    <t>3rd Party</t>
  </si>
  <si>
    <t>State Kahramaa</t>
  </si>
  <si>
    <t>Network Back Online</t>
  </si>
  <si>
    <t xml:space="preserve">Link went down </t>
  </si>
  <si>
    <t>SAL-ENC45-CE-01</t>
  </si>
  <si>
    <t>Zone 83</t>
  </si>
  <si>
    <t>51.042739, 25.005944</t>
  </si>
  <si>
    <t>Link restored after 4 mins(Auto) # It is pending from TTG</t>
  </si>
  <si>
    <t>TTG</t>
  </si>
  <si>
    <t>network went down due to system upgrade</t>
  </si>
  <si>
    <t>P008C2-Enc09-CE01</t>
  </si>
  <si>
    <t xml:space="preserve"> Escalated to Salam Tech team (Imran) on phone and rebooted the system</t>
  </si>
  <si>
    <t>Salam Tech</t>
  </si>
  <si>
    <t>Vishnu</t>
  </si>
  <si>
    <t>Device Down</t>
  </si>
  <si>
    <t>Power failure detected at the site</t>
  </si>
  <si>
    <t>Sal-ENC38-CE-01</t>
  </si>
  <si>
    <t>51.1144427, 25.069908</t>
  </si>
  <si>
    <t>The Kahramaa team is currently performing maintenance on the main electrical poles in the area.Expected Completion: Restoration is anticipated by 2:00 PM.</t>
  </si>
  <si>
    <t>Link Down</t>
  </si>
  <si>
    <t>Link restored after 3 mins(Auto) # It is pending from TTG</t>
  </si>
  <si>
    <t>Link restored after 11 mins(Auto) # It is pending from TTG</t>
  </si>
  <si>
    <t>UPS was not giving output</t>
  </si>
  <si>
    <t xml:space="preserve">P010-ENC61–CE-01  </t>
  </si>
  <si>
    <t>Issue resolved after restarting  UPS</t>
  </si>
  <si>
    <t>Maintainer</t>
  </si>
  <si>
    <t>N/a</t>
  </si>
  <si>
    <t>Noticed no power on Main breakers/Terminals</t>
  </si>
  <si>
    <t>P023C1-ENC01–CE -01</t>
  </si>
  <si>
    <t xml:space="preserve"> Zone 91</t>
  </si>
  <si>
    <t>51.583897, 25.111748</t>
  </si>
  <si>
    <t>Power supply restored by Kahrama staff.Kharahma reference No. 261100005225</t>
  </si>
  <si>
    <t>P023C1-ENC01–UPE -01</t>
  </si>
  <si>
    <t>Salem/Amr</t>
  </si>
  <si>
    <t>MCB was tripped at site</t>
  </si>
  <si>
    <t>SAL-ENC50–CE -01</t>
  </si>
  <si>
    <t>Zone 96</t>
  </si>
  <si>
    <t>50.9993542, 24.9513076</t>
  </si>
  <si>
    <t xml:space="preserve"> team turned on the CB and device restored</t>
  </si>
  <si>
    <t>P008C3-ENC01–CE -01</t>
  </si>
  <si>
    <t>Zone 55</t>
  </si>
  <si>
    <t>51.4801647, 25.2614822</t>
  </si>
  <si>
    <t>P008C3-ENC25–CE -01</t>
  </si>
  <si>
    <t>Zone 56</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</si>
  <si>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</si>
  <si>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</si>
  <si>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</si>
  <si>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</si>
  <si>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</si>
  <si>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</si>
  <si>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</si>
  <si>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</si>
  <si>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</si>
  <si>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</si>
  <si>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</si>
  <si>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</si>
  <si>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</si>
  <si>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</si>
  <si>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</si>
  <si>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</si>
  <si>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</si>
  <si>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</si>
  <si>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FLM visited the site and found no kahramaa power in cabinet as well as FP</t>
  </si>
  <si>
    <t>P028C2-ENC18-CE-01,P028C2-ENC25-CE-01,P028C2-ENC25-UPE-01</t>
  </si>
  <si>
    <t>Zone 18</t>
  </si>
  <si>
    <t>25.28983, 51.51513</t>
  </si>
  <si>
    <t>Inside Doha</t>
  </si>
  <si>
    <t>FLM Team contacted kharamaa and they restored the power</t>
  </si>
  <si>
    <t>Sirti-WAN-R3-Ticket-02</t>
  </si>
  <si>
    <t>Power restored by kharamaa team raised a ticket.Ref No-261100006258</t>
  </si>
  <si>
    <t>Sirti-WAN-R3-Ticket-03</t>
  </si>
  <si>
    <t>Saleem/Amr</t>
  </si>
  <si>
    <t>FLM visited the site and found port 05 down which is connected to LAN access switch</t>
  </si>
  <si>
    <t>22FEB-ENC25-CE-01</t>
  </si>
  <si>
    <t>Zone 34</t>
  </si>
  <si>
    <t>51.47088144, 25.31832397</t>
  </si>
  <si>
    <t>The Alarm was cleared after LAN device came up</t>
  </si>
  <si>
    <t>Sirti-WAN-R3-Ticket-04</t>
  </si>
  <si>
    <t>Amr</t>
  </si>
  <si>
    <t>P010-ENC61-CE-01,P010-ENC64-CE-01</t>
  </si>
  <si>
    <t>51.4699752  25.1700975</t>
  </si>
  <si>
    <t>Sirti-WAN-R3-Ticket-05</t>
  </si>
  <si>
    <t>Vishnu/Haroon</t>
  </si>
  <si>
    <t>No Power Redeundancy</t>
  </si>
  <si>
    <t>Power Module Power off</t>
  </si>
  <si>
    <t>MCB was tripped at SMDB</t>
  </si>
  <si>
    <t>P012-ENC97-UPE-02</t>
  </si>
  <si>
    <t>25.1926322 51.4542203</t>
  </si>
  <si>
    <t>FLM Turned on the CB and device restored</t>
  </si>
  <si>
    <t>Access</t>
  </si>
  <si>
    <t>Got the key from the Tunnel contractor and turned on the CB</t>
  </si>
  <si>
    <t>Sirti-WAN-R3-Ticket-06</t>
  </si>
  <si>
    <t>Aneesh/Abubaker</t>
  </si>
  <si>
    <t>P023C2-ENC16-CE-01 &amp; P023C2-ENC16-UPE-02 unreachable from eSite</t>
  </si>
  <si>
    <t>P023C2-ENC16-CE-01 &amp; P023C2-ENC16-UPE-02</t>
  </si>
  <si>
    <t>Zone 82</t>
  </si>
  <si>
    <t>25.228079 51.307359</t>
  </si>
  <si>
    <t>FLM Turned on the CB and devices restored</t>
  </si>
  <si>
    <t>Sirti-WAN-R3-Ticket-07</t>
  </si>
  <si>
    <t>Mastan/Adil</t>
  </si>
  <si>
    <t>Port Down at CE Connected to Lan 2 Switch</t>
  </si>
  <si>
    <t>SAL-ENC20-CE-01</t>
  </si>
  <si>
    <t>Sirti-WAN-R3-Ticket-08</t>
  </si>
  <si>
    <t>Haroon/Masthan</t>
  </si>
  <si>
    <t xml:space="preserve">Ethernet link down </t>
  </si>
  <si>
    <t xml:space="preserve">Eth link down RMC-P003 &amp;SOC-P003 &amp;P004-SOC PRI due QNBN activity on the link </t>
  </si>
  <si>
    <t xml:space="preserve"> RMC-P003 &amp;SOC-P003 &amp;P004-SOC PRI</t>
  </si>
  <si>
    <t>Activity was finished and link was restored</t>
  </si>
  <si>
    <t xml:space="preserve">QNBN activity on the link </t>
  </si>
  <si>
    <t>Sirti-WAN-R3-Ticket-09</t>
  </si>
  <si>
    <t>AMR / Vishnu</t>
  </si>
  <si>
    <t>P028C2-ENC04-CE-01-OMC LOCAL</t>
  </si>
  <si>
    <t xml:space="preserve">Alarm Auto Cleared before flm visit the site </t>
  </si>
  <si>
    <t>Sirti-WAN-R3-Ticket-10</t>
  </si>
  <si>
    <t>AMR / Erick</t>
  </si>
  <si>
    <t xml:space="preserve">TTG team was working at RMC Datacenter on RMC-ENC-NMS-SW-01 SERVER as a part of snag clearanace </t>
  </si>
  <si>
    <t>RMC-ENC-NMS-SW-01 SERVER</t>
  </si>
  <si>
    <t>Alarm Auto Cleared</t>
  </si>
  <si>
    <t>TTG team was working at RMC Datacenter</t>
  </si>
  <si>
    <t>Sirti-WAN-R3-Ticket-11</t>
  </si>
  <si>
    <t>AMR / Haroon / Erick</t>
  </si>
  <si>
    <t>Port Module Offline</t>
  </si>
  <si>
    <t>One Power Source is Down</t>
  </si>
  <si>
    <t>Power cable loose between DWDM and PDU</t>
  </si>
  <si>
    <t>RAA_SEC</t>
  </si>
  <si>
    <t>Zone 28</t>
  </si>
  <si>
    <t>25.285228, 51.551657</t>
  </si>
  <si>
    <t>FLM Visit the site and found the low voltage and fix the power source</t>
  </si>
  <si>
    <t>Sirti-WAN-R3-Ticket-12</t>
  </si>
  <si>
    <t>HAROON</t>
  </si>
  <si>
    <t>High Temprature</t>
  </si>
  <si>
    <t>LPU Board 2</t>
  </si>
  <si>
    <t>Boards Temprature higher than the upper threshold</t>
  </si>
  <si>
    <t>P060-ENC18-UPE-01</t>
  </si>
  <si>
    <t>Sirti-WAN-R3-Ticket-13</t>
  </si>
  <si>
    <t>Adel / Umair</t>
  </si>
  <si>
    <t>Breaker off from the FP side</t>
  </si>
  <si>
    <t>P023C3-ENC174-UPE02 &amp; P023C3-ENC174-CE 01</t>
  </si>
  <si>
    <t>Zone 94</t>
  </si>
  <si>
    <t>25.01688 51.49047</t>
  </si>
  <si>
    <t>MCB was tripped , FLM  switched on the MCB</t>
  </si>
  <si>
    <t>Sirti-WAN-R3-Ticket-14</t>
  </si>
  <si>
    <t>AMR</t>
  </si>
  <si>
    <t>Communication betweeen NMS and NE is Abnormal</t>
  </si>
  <si>
    <t>DUK-ENC04-CE-01</t>
  </si>
  <si>
    <t>Sirti-WAN-R3-Ticket-15</t>
  </si>
  <si>
    <t>DUK-ENC06-CE-01</t>
  </si>
  <si>
    <t>Sirti-WAN-R3-Ticket-16</t>
  </si>
  <si>
    <t>HAROON\Masthan</t>
  </si>
  <si>
    <t>LPU Board 2 Heatup</t>
  </si>
  <si>
    <t>Zone 70</t>
  </si>
  <si>
    <t>25.388045, 51.488990</t>
  </si>
  <si>
    <t>FLM Visit the site and Turn on the AC Breaker and restore the Cooling</t>
  </si>
  <si>
    <t>Sirti-WAN-R3-Ticket-17</t>
  </si>
  <si>
    <t>Device Down / Link Down</t>
  </si>
  <si>
    <t>There was no power supply in main terminals of DGME-23</t>
  </si>
  <si>
    <t>P059-C1-ENC23-CE-01
P059-C1-ENC23-UPE-02
P059-C1-ENC04-UPE-01
P059-C1-ENC42-CE-01</t>
  </si>
  <si>
    <t>Zone 71</t>
  </si>
  <si>
    <t>25.451633, 51.409080</t>
  </si>
  <si>
    <t>Switched the Circuit from Primary to Secondary in ATS at Feeder side(ITS FP-16)</t>
  </si>
  <si>
    <t>Sirti-WAN-R3-Ticket-18</t>
  </si>
  <si>
    <t>Other Ashghal Contractor (ITS Qatar) was doing the maintenance for PTZ Camera)-On NMS port down GE1/0/15 -Huawei Switch</t>
  </si>
  <si>
    <t>DUK-ENC12-CE-01</t>
  </si>
  <si>
    <t>Zone 80</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</si>
  <si>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</si>
  <si>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</si>
  <si>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</si>
  <si>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</si>
  <si>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</si>
  <si>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</si>
  <si>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</si>
  <si>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NA  -On NMS port down GE1/0/9 -Huawei Switch</t>
  </si>
  <si>
    <t>DUK-ENC16-CE-01</t>
  </si>
  <si>
    <t>25.432295, 51.110656</t>
  </si>
  <si>
    <t xml:space="preserve">FME arrived Verified the ports in Huawei Switch, all were working well- Link went down and restored </t>
  </si>
  <si>
    <t>Sirti-WAN-R3-Ticket-21</t>
  </si>
  <si>
    <t>NA  -On NMS port down GE1/0/10 -Huawei Switch</t>
  </si>
  <si>
    <t>SAL-ENC50-CE-01</t>
  </si>
  <si>
    <t>24.951308, 50.999354</t>
  </si>
  <si>
    <t>Sirti-WAN-R3-Ticket-22</t>
  </si>
  <si>
    <t xml:space="preserve">Issue Esclated to Imran (SALAM TECH)  by call and whats app messages </t>
  </si>
  <si>
    <t>P008-C3-ENC19-CE-01
P008-C3-ENC09-CE-01
P008-C3-ENC05-CE-01
P008-C3-ENC07-CE-01
P008-C3-ENC04-CE-01
P008-C3-ENC01-CE-01</t>
  </si>
  <si>
    <t xml:space="preserve">Issue Esclated to Imran (SALAM TECH)  by call and whats app messages - All alarms got cleared </t>
  </si>
  <si>
    <t>Sirti-WAN-R3-Ticket-23</t>
  </si>
  <si>
    <t>HAROON / Patric</t>
  </si>
  <si>
    <t>Heat Alarm</t>
  </si>
  <si>
    <t xml:space="preserve"> SFP Interface Heat Alarm</t>
  </si>
  <si>
    <t>Optical Module temp too high</t>
  </si>
  <si>
    <t>P010-ENC01-CE-01</t>
  </si>
  <si>
    <t>Zone 81</t>
  </si>
  <si>
    <t>25.139881, 51.407393</t>
  </si>
  <si>
    <t xml:space="preserve">Alarm is about SFP interface heatup overall device stats are normal, no Service Effected.alarms got cleared </t>
  </si>
  <si>
    <t>Sirti-WAN-R3-Ticket-24</t>
  </si>
  <si>
    <t>SAL-ENC67-CE-01</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</si>
  <si>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</si>
  <si>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</si>
  <si>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</si>
  <si>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</si>
  <si>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</si>
  <si>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</si>
  <si>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</si>
  <si>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</si>
  <si>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PWR Module Stopped Working</t>
  </si>
  <si>
    <t xml:space="preserve">PDU Was OFF </t>
  </si>
  <si>
    <t>RAA-TCR-USG-02 / DWDM RAA_SEC</t>
  </si>
  <si>
    <t>25.28522778 51.55165688</t>
  </si>
  <si>
    <t>Sirti-WAN-R3-Ticket-27</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</si>
  <si>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</si>
  <si>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</si>
  <si>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</si>
  <si>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DWDM RAA_SEC</t>
  </si>
  <si>
    <t xml:space="preserve">FLM fixed the loose power cable connection by cable tie /to be plan for PDU replacement </t>
  </si>
  <si>
    <t>Sirti-WAN-R3-Ticket-28</t>
  </si>
  <si>
    <t>Abubaker</t>
  </si>
  <si>
    <t>Power Module Powered off</t>
  </si>
  <si>
    <t>khahromaa power shutdown</t>
  </si>
  <si>
    <t>- P004-TMC-NPE-01
- P004_Pri
- P004_Sec</t>
  </si>
  <si>
    <t>25.319385,51.352255</t>
  </si>
  <si>
    <t>Main Power was down due to power outage from Kharahma side,
Alarms cleared after Kharahma power recovered by Kharahma team</t>
  </si>
  <si>
    <t>Sirti-WAN-R3-Ticket-29</t>
  </si>
  <si>
    <t xml:space="preserve">Team found no PWR at ENC / FP CB was tripped </t>
  </si>
  <si>
    <t>P004-ENC43-UPE-02  P004-ENC43-CE-01 P023C2-ENC43-CE-01</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</si>
  <si>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</si>
  <si>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</si>
  <si>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</si>
  <si>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</si>
  <si>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</si>
  <si>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</si>
  <si>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</si>
  <si>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power module stopped working , power fail</t>
  </si>
  <si>
    <t>power fail</t>
  </si>
  <si>
    <t>alarm is auto clear before visiting the site</t>
  </si>
  <si>
    <t>P004-TMC-NPE-01
P004-sec
P004-pri</t>
  </si>
  <si>
    <t>25.319385 ,51.352255</t>
  </si>
  <si>
    <t>Sirti-WAN-R3-Ticket-32</t>
  </si>
  <si>
    <t>Sirti-WAN-R3-Ticket-33</t>
  </si>
  <si>
    <t>there was no UPS output power , FLM Turned on the UPS, disconnected the AC from the UPS</t>
  </si>
  <si>
    <t>Sirti-WAN-R3-Ticket-34</t>
  </si>
  <si>
    <t>Alarm is auto clear before visiting the site</t>
  </si>
  <si>
    <t>Sirti-WAN-R3-Ticket-35</t>
  </si>
  <si>
    <t xml:space="preserve"> tripped CB</t>
  </si>
  <si>
    <t>P029C2-ENC05-CE-01</t>
  </si>
  <si>
    <t>25.281278° ,51.503972°</t>
  </si>
  <si>
    <t>Inside  Doha</t>
  </si>
  <si>
    <t>FLM switched on tripped CB</t>
  </si>
  <si>
    <t>Sirti-WAN-R3-Ticket-36</t>
  </si>
  <si>
    <t>SAL-ENC63-CE-01</t>
  </si>
  <si>
    <t>24.8301249° ,50.8705931°</t>
  </si>
  <si>
    <t>Sirti-WAN-R3-Ticket-37</t>
  </si>
  <si>
    <t>Aaqib</t>
  </si>
  <si>
    <t>VRRP switchover performed</t>
  </si>
  <si>
    <t xml:space="preserve">Alarm auto cleared. Suspecting link fluctuation </t>
  </si>
  <si>
    <t>P023C2-Enc11-CE-01</t>
  </si>
  <si>
    <t>25.325262° , 51.329176°</t>
  </si>
  <si>
    <t>Alarm auto cleared</t>
  </si>
  <si>
    <t>Sirti-WAN-R3-Ticket-38</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</si>
  <si>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</si>
  <si>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</si>
  <si>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</si>
  <si>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</si>
  <si>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</si>
  <si>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</si>
  <si>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</si>
  <si>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</si>
  <si>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</si>
  <si>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</si>
  <si>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</si>
  <si>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Cable Loose</t>
  </si>
  <si>
    <t>P008C2-ENC01-CE-01</t>
  </si>
  <si>
    <t>25.236901, 51.521726</t>
  </si>
  <si>
    <t xml:space="preserve">FME clean the cable and fix it properly </t>
  </si>
  <si>
    <t>Sirti-WAN-R3-Ticket-43</t>
  </si>
  <si>
    <t>Devices Down</t>
  </si>
  <si>
    <t>As per Logs, there was power interruption at site</t>
  </si>
  <si>
    <t>P011-Enc26-UPE-01
P011-Enc26-CE-01</t>
  </si>
  <si>
    <t>25.22234, 51.542</t>
  </si>
  <si>
    <t>As per Logs, there was power interruption at site. Device auto restored</t>
  </si>
  <si>
    <t>Devices Back Online</t>
  </si>
  <si>
    <t>Sirti-WAN-R3-Ticket-44</t>
  </si>
  <si>
    <t xml:space="preserve">Team found no power at the cabinet </t>
  </si>
  <si>
    <t>SAL-ENC14-CE-01</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</si>
  <si>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</si>
  <si>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</si>
  <si>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</si>
  <si>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</si>
  <si>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</si>
  <si>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</si>
  <si>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</si>
  <si>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</si>
  <si>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</si>
  <si>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25.1398815,
51.4073931</t>
  </si>
  <si>
    <t>Sirti-WAN-R3-Ticket-47</t>
  </si>
  <si>
    <t>Sanket</t>
  </si>
  <si>
    <t>Team found no power at the cabinet due to the failure of SLFP cabient which is uder RF001</t>
  </si>
  <si>
    <t>P003-ENC10-CE-DGME-01</t>
  </si>
  <si>
    <t>25.3735283  
51.5285481</t>
  </si>
  <si>
    <t>Sirti MENAA has communicated RMC to  request RF001 to fix SLFP Panel, after they rectify the panel, the power back to ITS-FP and all nodes back online</t>
  </si>
  <si>
    <t xml:space="preserve"> RF001</t>
  </si>
  <si>
    <t>Sirti-WAN-R3-Ticket-48</t>
  </si>
  <si>
    <t>Aaqib/Sanket</t>
  </si>
  <si>
    <t>P003-Enc10-CE-DGME-01</t>
  </si>
  <si>
    <t>Sirti-WAN-R3-Ticket-49</t>
  </si>
  <si>
    <t>Link down</t>
  </si>
  <si>
    <t>Link down towards LAN</t>
  </si>
  <si>
    <t>Sal-Enc45-CE-01</t>
  </si>
  <si>
    <t>Low</t>
  </si>
  <si>
    <t>Link auto restored</t>
  </si>
  <si>
    <t>Sirti-WAN-R3-Ticket-50</t>
  </si>
  <si>
    <t>LAN Link down</t>
  </si>
  <si>
    <t>Sirti-WAN-R3-Ticket-51</t>
  </si>
  <si>
    <t>Team found no power at the cabinet.</t>
  </si>
  <si>
    <t>Temperory generator removed and supply given from Kharamaa.</t>
  </si>
  <si>
    <t>Sirti-WAN-R3-Ticket-52</t>
  </si>
  <si>
    <t>Link auto restored. The link is down towards LAN</t>
  </si>
  <si>
    <t>Sirti-WAN-R3-Ticket-53</t>
  </si>
  <si>
    <t>Sanket/Adel</t>
  </si>
  <si>
    <t>There was no power on the outgoing-1 of the PSU</t>
  </si>
  <si>
    <t>P003-ENC37-CE-DGME-01</t>
  </si>
  <si>
    <t>25.3364931°
51.51767°</t>
  </si>
  <si>
    <t>We checked outgoing-2, and it's found sufficient, we connect the switch to outgoing-2 of PSU</t>
  </si>
  <si>
    <t>Sirti-WAN-R3-Ticket-54</t>
  </si>
  <si>
    <t>Device Restored before team visit</t>
  </si>
  <si>
    <t>IE5000-1003</t>
  </si>
  <si>
    <t>Zone 60</t>
  </si>
  <si>
    <t>25.30462
51.51743</t>
  </si>
  <si>
    <t>that switch is LAN switch managed by WAN NMS , team doesnot have the location of the switch and that escalated to 3rd party , at time 5:38 am the devices come back online without visiting</t>
  </si>
  <si>
    <t>Hichem</t>
  </si>
  <si>
    <t>Sirti-WAN-R3-Ticket-55</t>
  </si>
  <si>
    <t>Team found MCB was tripped</t>
  </si>
  <si>
    <t>P017C2-ENC23-CE01</t>
  </si>
  <si>
    <t>25.1702778° 
51.4710278°</t>
  </si>
  <si>
    <t xml:space="preserve">FLM switched on cabinet main CB , tripped due to rain </t>
  </si>
  <si>
    <t>Environmental</t>
  </si>
  <si>
    <t>Rain Event</t>
  </si>
  <si>
    <t>Sirti-WAN-R3-Ticket-56</t>
  </si>
  <si>
    <t xml:space="preserve">Team found no kharama power on site. </t>
  </si>
  <si>
    <t>DUK-ENC30-CE01</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</si>
  <si>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</si>
  <si>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</si>
  <si>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</si>
  <si>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</si>
  <si>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</si>
  <si>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</si>
  <si>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 xml:space="preserve">Main UPS CB is tripped </t>
  </si>
  <si>
    <t>P007C2-ENC82-CE-01</t>
  </si>
  <si>
    <t>25.3045066°
51.4548113°</t>
  </si>
  <si>
    <t xml:space="preserve">FLM switched on main UPS CB </t>
  </si>
  <si>
    <t>Sirti-WAN-R3-Ticket-59</t>
  </si>
  <si>
    <t xml:space="preserve">Power Module stopped working </t>
  </si>
  <si>
    <t>Team found the CB powering up Source B is faulty</t>
  </si>
  <si>
    <t>P015-ENC19A-CE-01</t>
  </si>
  <si>
    <t>25.1328013° 
51.5759416°</t>
  </si>
  <si>
    <t>The main CB has been replaced</t>
  </si>
  <si>
    <t>Sirti-WAN-R3-Ticket-60</t>
  </si>
  <si>
    <t>Team found that CB was tripped</t>
  </si>
  <si>
    <t>P007C2-ENC99-UPE02
P007C2-ENC99-CE01</t>
  </si>
  <si>
    <t>25.2967109°
51.4488814°</t>
  </si>
  <si>
    <t>FLM visit the site and was found that CB was tripped. Devices restored after 
turning ON CB</t>
  </si>
  <si>
    <t>Sirti-WAN-R3-Ticket-61</t>
  </si>
  <si>
    <t>Khahrama Outage</t>
  </si>
  <si>
    <t>CRR-ENC02-CE-01</t>
  </si>
  <si>
    <t>25.2834083°, 
51.5496912°</t>
  </si>
  <si>
    <t>As per log, there was khahrama interruption at site.</t>
  </si>
  <si>
    <t>Sirti-WAN-R3-Ticket-62</t>
  </si>
  <si>
    <t>port error disable GE 1/13</t>
  </si>
  <si>
    <t>P042-ENC08-CE-01</t>
  </si>
  <si>
    <t>The port is in error disable. After shut and unshut the port link became normal.
 The link is down towards LAN</t>
  </si>
  <si>
    <t>Sirti-WAN-R3-Ticket-63</t>
  </si>
  <si>
    <t>The link is down towards the LAN ( D-NODE-28 is down)</t>
  </si>
  <si>
    <t>25°27'16.48 
50°57'15.07</t>
  </si>
  <si>
    <t>Medium</t>
  </si>
  <si>
    <t>As per LAN team, D-Node 28 is down and No Kharamaa power available in the cabinet.</t>
  </si>
  <si>
    <t>Sirti-WAN-R3-Ticket-64</t>
  </si>
  <si>
    <t>SAL-ENC32-CE-01</t>
  </si>
  <si>
    <t>25.1165799° 
51.1812367°</t>
  </si>
  <si>
    <t>Sirti-WAN-R3-Ticket-65</t>
  </si>
  <si>
    <t>IE5000-2302</t>
  </si>
  <si>
    <t>Sirti-WAN-R3-Ticket-66</t>
  </si>
  <si>
    <t>No power in 1 phase of Khahrama</t>
  </si>
  <si>
    <t>SAL-ENC09-CE-01</t>
  </si>
  <si>
    <t xml:space="preserve">
25.2039088° 
51.3945681°</t>
  </si>
  <si>
    <t>- The node was down due to unavailability of the power in 2 phases.
- Kharahma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</si>
  <si>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</si>
  <si>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</si>
  <si>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</si>
  <si>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</si>
  <si>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</si>
  <si>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</si>
  <si>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</si>
  <si>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</si>
  <si>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</si>
  <si>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</si>
  <si>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</si>
  <si>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</si>
  <si>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</si>
  <si>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</si>
  <si>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</si>
  <si>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</si>
  <si>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</si>
  <si>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</si>
  <si>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</si>
  <si>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</si>
  <si>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</si>
  <si>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</si>
  <si>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</si>
  <si>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</si>
  <si>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</si>
  <si>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</si>
  <si>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</si>
  <si>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25.2039088° 
51.3945681°</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</si>
  <si>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</si>
  <si>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</si>
  <si>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</si>
  <si>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</si>
  <si>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</si>
  <si>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</si>
  <si>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</si>
  <si>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</si>
  <si>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</si>
  <si>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</si>
  <si>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</si>
  <si>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IE5000-1003.ashghal</t>
  </si>
  <si>
    <t>Sirti-WAN-R3-Ticket-78</t>
  </si>
  <si>
    <t>QBC team is working at FP</t>
  </si>
  <si>
    <t>SAL-ENC20-CE-01
SAL-ENC20-UPE-02</t>
  </si>
  <si>
    <t>25.164986° 
51.3063942</t>
  </si>
  <si>
    <t>QBC team is working at Fidder Piller</t>
  </si>
  <si>
    <t>Patric</t>
  </si>
  <si>
    <t>Sirti-WAN-R3-Ticket-79</t>
  </si>
  <si>
    <t xml:space="preserve">Sub Main CB breaker tripping along with AC CB Due to AC Defect </t>
  </si>
  <si>
    <t>Sub Main CB breaker Restored</t>
  </si>
  <si>
    <t>Sirti-WAN-R3-Ticket-80</t>
  </si>
  <si>
    <t>Sub Main CB breaker tripping along with AC CB due to AC defect  during PPM</t>
  </si>
  <si>
    <t>Change AC Capacitor and deep cleaning of all AC components</t>
  </si>
  <si>
    <t>Sirti-WAN-R3-Ticket-81</t>
  </si>
  <si>
    <t>25.1435454°
51.2478413°</t>
  </si>
  <si>
    <t>Sirti-WAN-R3-Ticket-82</t>
  </si>
  <si>
    <t xml:space="preserve">FLM found no power inside cabinet </t>
  </si>
  <si>
    <t>DUK-ENC24-CE-01</t>
  </si>
  <si>
    <t>25.435778°
51.0066732°</t>
  </si>
  <si>
    <t xml:space="preserve">FLM switched on main CB that was tripped </t>
  </si>
  <si>
    <t>sanjeewa</t>
  </si>
  <si>
    <t>Sirti-WAN-R3-Ticket-83</t>
  </si>
  <si>
    <t xml:space="preserve">No Khahroma power at cabenit </t>
  </si>
  <si>
    <t>DUK-ENC20-CE-01</t>
  </si>
  <si>
    <t>25.427405°
51.0546006°</t>
  </si>
  <si>
    <t>Esclated to Kharahma &amp; power was restored, all devices came up</t>
  </si>
  <si>
    <t>Environmental &amp; 3rd Party</t>
  </si>
  <si>
    <t>Rain Event &amp; State Kahramaa</t>
  </si>
  <si>
    <t>Sirti-WAN-R3-Ticket-84</t>
  </si>
  <si>
    <t xml:space="preserve">main Cabinet CB was tripped </t>
  </si>
  <si>
    <t>P060-ENC18-CE-GME-01</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</si>
  <si>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</si>
  <si>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</si>
  <si>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</si>
  <si>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</si>
  <si>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</si>
  <si>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</si>
  <si>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</si>
  <si>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</si>
  <si>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</si>
  <si>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</si>
  <si>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</si>
  <si>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</si>
  <si>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Kharahma Power at the LAN device</t>
  </si>
  <si>
    <t>24.7761642° 
50.8665552°</t>
  </si>
  <si>
    <t>Esclated to Kharahma  &amp; power was restored, all devices came up</t>
  </si>
  <si>
    <t>Sirti-WAN-R3-Ticket-88</t>
  </si>
  <si>
    <t>P029C1-ENC02-CE-01</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</si>
  <si>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</si>
  <si>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</si>
  <si>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</si>
  <si>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</si>
  <si>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</si>
  <si>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</si>
  <si>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No abonormalities found at site</t>
  </si>
  <si>
    <t>Performed a hardware reboot for the device</t>
  </si>
  <si>
    <t>Alarm Cleared</t>
  </si>
  <si>
    <t>Sirti-WAN-R3-Ticket-90</t>
  </si>
  <si>
    <t>1x10G Link Down</t>
  </si>
  <si>
    <t>port was in Err-Disabled status</t>
  </si>
  <si>
    <t>P028C2-Enc06-DGME-CE-01 port 
TE 1/25</t>
  </si>
  <si>
    <t>25.2892675°
51.5213447°</t>
  </si>
  <si>
    <t>Issue resolved after shut/unshut port</t>
  </si>
  <si>
    <t>Sirti-WAN-R3-Ticket-91</t>
  </si>
  <si>
    <t>IE5000-3202</t>
  </si>
  <si>
    <t>As per Logs, there was power interruption at schema site Device auto restored</t>
  </si>
  <si>
    <t>Sirti-WAN-R3-Ticket-92</t>
  </si>
  <si>
    <t>DC23-Enc101-CE-01</t>
  </si>
  <si>
    <t>25.3204°
51.470367°</t>
  </si>
  <si>
    <t>Sirti-WAN-R3-Ticket-93</t>
  </si>
  <si>
    <t>DC23-Enc102-CE-01</t>
  </si>
  <si>
    <t>25.321261°
51.473693°</t>
  </si>
  <si>
    <t>Sirti-WAN-R3-Ticket-94</t>
  </si>
  <si>
    <t>DC23-Enc104-CE-01</t>
  </si>
  <si>
    <t>25.320812°
51.469483°</t>
  </si>
  <si>
    <t>Sirti-WAN-R3-Ticket-95</t>
  </si>
  <si>
    <t>Sirti-WAN-R3-Ticket-96</t>
  </si>
  <si>
    <t>Sirti-WAN-R3-Ticket-97</t>
  </si>
  <si>
    <t>Sirti-WAN-R3-Ticket-98</t>
  </si>
  <si>
    <t>24.9513076° 
50.9993542°</t>
  </si>
  <si>
    <t>Sirti-WAN-R3-Ticket-99</t>
  </si>
  <si>
    <t>Sirti-WAN-R3-Ticket-100</t>
  </si>
  <si>
    <t>FLM found that Another contractor(prime craft) is working on the feeder pillar</t>
  </si>
  <si>
    <t>Work carried out by another subcontractor</t>
  </si>
  <si>
    <t>Irshad</t>
  </si>
  <si>
    <t>Sirti-WAN-R3-Ticket-101</t>
  </si>
  <si>
    <t>Masthanbasha</t>
  </si>
  <si>
    <t>Sirti-WAN-R3-Ticket-102</t>
  </si>
  <si>
    <t>Kharahma Outage</t>
  </si>
  <si>
    <t>Sirti-WAN-R3-Ticket-103</t>
  </si>
  <si>
    <t xml:space="preserve">FLM found that the CB inside the feeder pillar is tripped </t>
  </si>
  <si>
    <t>FLM switched on main CB at feeder pillar. Breaker tripped due to Kahramaa instability</t>
  </si>
  <si>
    <t>Sirti-WAN-R3-Ticket-104</t>
  </si>
  <si>
    <t>AC FAN faulty (Overheating)</t>
  </si>
  <si>
    <t>The alarm auto restored however the FLM went to the site and replaced the fan compressor</t>
  </si>
  <si>
    <t>Sirti-WAN-R3-Ticket-105</t>
  </si>
  <si>
    <t>Optical Invalid</t>
  </si>
  <si>
    <t>High power</t>
  </si>
  <si>
    <t>High power in 100GE 1/4/0/33</t>
  </si>
  <si>
    <t>RMC-ENC-SSW-01</t>
  </si>
  <si>
    <t>5dB attenuator added in both the port of RMC-ENC-SSW-01 (100GE 1/4/0/33 and 100GE 2/4/0/33)</t>
  </si>
  <si>
    <t>Arfa</t>
  </si>
  <si>
    <t>Sirti-WAN-R3-Ticket-106</t>
  </si>
  <si>
    <t>Khahram power line cut</t>
  </si>
  <si>
    <t>Khahram power line issue.khahram team is working on finding fault at power lines. Site was temporery powered up with PG.</t>
  </si>
  <si>
    <t>Sanjeewa / Ghulam</t>
  </si>
  <si>
    <t>Sirti-WAN-R3-Ticket-107</t>
  </si>
  <si>
    <t xml:space="preserve">MCB at FP was tripped. </t>
  </si>
  <si>
    <t>P007C2-ENC89-CE-01
P007C2-ENC89-CE-02</t>
  </si>
  <si>
    <t>Zone 52</t>
  </si>
  <si>
    <t>25.2960119°
51.4742727°</t>
  </si>
  <si>
    <t xml:space="preserve">MCB was tripped at FP. PG was installed during finding FP location.   </t>
  </si>
  <si>
    <t>Sirti-WAN-R3-Ticket-108</t>
  </si>
  <si>
    <t xml:space="preserve">alarm is auto clear before visiting the site , suspecting power is flapped </t>
  </si>
  <si>
    <t>Sirti-WAN-R3-Ticket-109</t>
  </si>
  <si>
    <t>25.2960119°
51.4742727°</t>
  </si>
  <si>
    <t>MCB was tripped at FP,  FLM switch on the MCB at the FP</t>
  </si>
  <si>
    <t>Sirti-WAN-R3-Ticket-110</t>
  </si>
  <si>
    <t>Device was energized by generator</t>
  </si>
  <si>
    <t>FLM disconneced the Generator and powered up the device through Kharahma supply</t>
  </si>
  <si>
    <t>Sanjeewa</t>
  </si>
  <si>
    <t>Sirti-WAN-R3-Ticket-111</t>
  </si>
  <si>
    <t xml:space="preserve">UPS CB is tripped when Aircondition is on </t>
  </si>
  <si>
    <t>P028C2-ENC04-CE-01.omc.local</t>
  </si>
  <si>
    <t>25.2791625°
51.5290008°</t>
  </si>
  <si>
    <t>Device auto restored however the FLM went to the site and switched on the UPS CB and switched off the Aircondition.</t>
  </si>
  <si>
    <t>hicham</t>
  </si>
  <si>
    <t>Sirti-WAN-R3-Ticket-112</t>
  </si>
  <si>
    <t>DC Power Issue in ring switch as per Salam tech team</t>
  </si>
  <si>
    <t>P008C3-ENC01-CE-01</t>
  </si>
  <si>
    <t>25.2614822°
51.4801647°</t>
  </si>
  <si>
    <t>According to Mr. Salman from Salam Tech, there was DC power issue in the switch at LAN Ring which was resolved after restarting switch .
The fluctuation had been occurring repeatedly at intervals of 2, 4, and 5 minutes during the mentioned time frame</t>
  </si>
  <si>
    <t>Defect</t>
  </si>
  <si>
    <t>DC power issue</t>
  </si>
  <si>
    <t>Sirti-WAN-R3-Ticket-113</t>
  </si>
  <si>
    <t>P008C3-ENC04-CE-01</t>
  </si>
  <si>
    <t>25.2570167°
51.4842069°</t>
  </si>
  <si>
    <t>Sirti-WAN-R3-Ticket-114</t>
  </si>
  <si>
    <t>P008C3-ENC07-CE-01</t>
  </si>
  <si>
    <t>25.2503634°
51.4854925°</t>
  </si>
  <si>
    <t>Sirti-WAN-R3-Ticket-115</t>
  </si>
  <si>
    <t>P008C3-ENC05-CE-01</t>
  </si>
  <si>
    <t>25.2565555°
51.4854834°</t>
  </si>
  <si>
    <t>Sirti-WAN-R3-Ticket-116</t>
  </si>
  <si>
    <t>P008C3-ENC09-CE-01</t>
  </si>
  <si>
    <t>25.253746°
51.4904411°</t>
  </si>
  <si>
    <t>Sirti-WAN-R3-Ticket-117</t>
  </si>
  <si>
    <t>P008C3-ENC19-CE-01</t>
  </si>
  <si>
    <t>25.2366977°
51.4964187°</t>
  </si>
  <si>
    <t>Sirti-WAN-R3-Ticket-118</t>
  </si>
  <si>
    <t>P008C3-ENC25-CE-01</t>
  </si>
  <si>
    <t>25.2341068°
51.50261°</t>
  </si>
  <si>
    <t>Sirti-WAN-R3-Ticket-119</t>
  </si>
  <si>
    <t>P059C1-Enc42-CE-01</t>
  </si>
  <si>
    <t>25.56931971°
51.41540451°</t>
  </si>
  <si>
    <t>As per Device Logs, there was power interruption at site.Auto restored</t>
  </si>
  <si>
    <t>Sirti-WAN-R3-Ticket-120</t>
  </si>
  <si>
    <t>Sirti-WAN-R3-Ticket-121</t>
  </si>
  <si>
    <t>P028C2-ENC01-CE-01.omc.local</t>
  </si>
  <si>
    <t>25.283910°
51.5496128°</t>
  </si>
  <si>
    <t>FLM switched on tripped CB at FP</t>
  </si>
  <si>
    <t>Hicham</t>
  </si>
  <si>
    <t>Sirti-WAN-R3-Ticket-122</t>
  </si>
  <si>
    <t>Power Fault</t>
  </si>
  <si>
    <t>UPS Battery Faulty</t>
  </si>
  <si>
    <t>51.3063942     
25.164986</t>
  </si>
  <si>
    <t>Action: UPS restarted.
Now All power modules are running stable.
UPS output : 246V</t>
  </si>
  <si>
    <t>Sirti-WAN-R3-Ticket-123</t>
  </si>
  <si>
    <t xml:space="preserve">Poower Modules Stopped Working </t>
  </si>
  <si>
    <t>Sirti-WAN-R3-Ticket-124</t>
  </si>
  <si>
    <t>Devices Fluctuation</t>
  </si>
  <si>
    <t>Alarm is auto clear before visiting the site.
The devices was fluctuated for 20 seconds in the interval of seven.
The Schema maitained by Salam Tech</t>
  </si>
  <si>
    <t>P014-ENC04-DSW04</t>
  </si>
  <si>
    <t>25.254°
51.52375°</t>
  </si>
  <si>
    <t>P014-ENC07-DSW07</t>
  </si>
  <si>
    <t>25.2546112°
51.5246112°</t>
  </si>
  <si>
    <t>P014-ENC10-DSW10</t>
  </si>
  <si>
    <t>25.253896
51.535995</t>
  </si>
  <si>
    <t>P014-ENC11-DSW11</t>
  </si>
  <si>
    <t>25.2545833°
51.5367222°</t>
  </si>
  <si>
    <t>P014-ENC12-DSW12</t>
  </si>
  <si>
    <t>25.524911 
51.54895</t>
  </si>
  <si>
    <t>Sirti-WAN-R3-Ticket-125</t>
  </si>
  <si>
    <t>P015-ENC93-CE-01</t>
  </si>
  <si>
    <t>25.1143801° 
51.5957564°</t>
  </si>
  <si>
    <t>Sirti-WAN-R3-Ticket-126</t>
  </si>
  <si>
    <t>P040-CPE02-ENC21-DSW</t>
  </si>
  <si>
    <t>25.189354 
51.448508</t>
  </si>
  <si>
    <t>Rizwan</t>
  </si>
  <si>
    <t>Sirti-WAN-R3-Ticket-127</t>
  </si>
  <si>
    <t>Kharahma power fluctuation</t>
  </si>
  <si>
    <t>Sirti-WAN-R3-Ticket-128</t>
  </si>
  <si>
    <t>P008C2-Enc24-CE-01</t>
  </si>
  <si>
    <t xml:space="preserve">25.2504372°
51.5239383° </t>
  </si>
  <si>
    <t>Sirti-WAN-R3-Ticket-129</t>
  </si>
  <si>
    <t>CB tripped during PPM</t>
  </si>
  <si>
    <t>Device went down due to ongoing PPM activity by FLM</t>
  </si>
  <si>
    <t>Scheduled Works</t>
  </si>
  <si>
    <t>PPM</t>
  </si>
  <si>
    <t>Sirti-WAN-R3-Ticket-130</t>
  </si>
  <si>
    <t>Sanket/Abu baker</t>
  </si>
  <si>
    <t>Power was OK at site while device is down</t>
  </si>
  <si>
    <t>IE5000-3903</t>
  </si>
  <si>
    <t>25.263350
51.496886</t>
  </si>
  <si>
    <t>Device restored after changing the power from PS1 to PS2</t>
  </si>
  <si>
    <t>Sirti-WAN-R3-Ticket-131</t>
  </si>
  <si>
    <t>Alarm is auto cleared before FLM visiting the site.
As per logs it is related to power instability.
IE5000-1702, IE5000-3101 &amp; IE5000-6009 was flapped for around 40 Sec (Ring conversion time)</t>
  </si>
  <si>
    <t>Device Auto restored before FLM reached the site</t>
  </si>
  <si>
    <t>Sirti-WAN-R3-Ticket-132</t>
  </si>
  <si>
    <t>FLM team was on site during incident, observed power interruption caused the device to be down</t>
  </si>
  <si>
    <t>Najeeb</t>
  </si>
  <si>
    <t>Sirti-WAN-R3-Ticket-133</t>
  </si>
  <si>
    <t>Device was down due to power outage</t>
  </si>
  <si>
    <t>Kwadwo</t>
  </si>
  <si>
    <t>Sirti-WAN-R3-Ticket-134</t>
  </si>
  <si>
    <t>Sirti-WAN-R3-Ticket-135</t>
  </si>
  <si>
    <t>P015-ENC22B-UPE-02
P015-ENC24A-CE-01
P015-SS1-USG-02
P015-ENC19A-CE-01
P015-ENC80A-CE-01
P015-SS1-CE-01
P015-ENC18-CE-01
P015-ENC22A-CE-01
P015-ENC22B-CE-01
P015-ENC56-CE-01
P015-ENC93-CE-01
P015-SS1-USG-01</t>
  </si>
  <si>
    <t>Zone 90</t>
  </si>
  <si>
    <t>25.131934°
 51.5866756°</t>
  </si>
  <si>
    <t>Devices were down due to Kharahma major outage in multiple sites which affected multiple nodes as well as the ring protection
There was no Kharahma power at the following:
P015-ENC22B-UPE-02
P015-ENC24A-CE-01
P015-ENC19A-CE-01
P015-ENC18-CE-01
P015-ENC22A-CE-01
P015-ENC22B-CE-01
P015-ENC56-CE-01</t>
  </si>
  <si>
    <t>Najeeb / Hicham</t>
  </si>
  <si>
    <t>Sirti-WAN-R3-Ticket-136</t>
  </si>
  <si>
    <t>Device was down due to KHARAMAA issue. Temporary genertaor is connected to resolved the issue.</t>
  </si>
  <si>
    <t>Sirti-WAN-R3-Ticket-137</t>
  </si>
  <si>
    <t>Due to Kharahma power, the device was running on generator.Suddenly the circuit breaker tripped and the device shut down.
Later, the circuit breaker was turned ON again.</t>
  </si>
  <si>
    <t>Sirti-WAN-R3-Ticket-138</t>
  </si>
  <si>
    <t>We removed the generator and started the device on Kahramaa</t>
  </si>
  <si>
    <t>Sirti-WAN-R3-Ticket-139</t>
  </si>
  <si>
    <t>device down flapped for 5 min and auto-restored</t>
  </si>
  <si>
    <t>Sirti-WAN-R3-Ticket-140</t>
  </si>
  <si>
    <t>Link Down (100GE 1/0/1)</t>
  </si>
  <si>
    <t>100GE Link Down</t>
  </si>
  <si>
    <t>Link Down (100GE 1/0/1) due to QNBN Planned Activity</t>
  </si>
  <si>
    <t>P023C1-ENC01-UPE-01</t>
  </si>
  <si>
    <t>25.111748° 
 51.583897°</t>
  </si>
  <si>
    <t>outside Doha</t>
  </si>
  <si>
    <t>Planned activity by QNBN (Ref # PWA-RMD-0104)</t>
  </si>
  <si>
    <t>QNBN</t>
  </si>
  <si>
    <t>Link is up and alarm cleared</t>
  </si>
  <si>
    <t>Sirti-WAN-R3-Ticket-141</t>
  </si>
  <si>
    <t>Traffic Signal Contractor Activity</t>
  </si>
  <si>
    <t>Device went down due to TS contractor activity, the switched off the CB.</t>
  </si>
  <si>
    <t>TS contractor</t>
  </si>
  <si>
    <t>Ghulam</t>
  </si>
  <si>
    <t>Sirti-WAN-R3-Ticket-142</t>
  </si>
  <si>
    <t>KTC team turned off Breaker at FP for their activity</t>
  </si>
  <si>
    <t>Sirti-WAN-R3-Ticket-143</t>
  </si>
  <si>
    <t>Traffic Signal Contractoris working</t>
  </si>
  <si>
    <t>No power in  the cabinet. Tripped off main ITS-FP- breaker</t>
  </si>
  <si>
    <t>Eric</t>
  </si>
  <si>
    <t>Sirti-WAN-R3-Ticket-144</t>
  </si>
  <si>
    <t>P059C1-Enc04-UPE-01
P059C1-Enc04-CE-01</t>
  </si>
  <si>
    <t>25.3653937°
51.4467471°</t>
  </si>
  <si>
    <t>Khahrama outage. Device was temoprery powered up with DG . Later discnnected on khahrama restoration</t>
  </si>
  <si>
    <t>Sirti-WAN-R3-Ticket-145</t>
  </si>
  <si>
    <t>KAHRAMAA power interruption.</t>
  </si>
  <si>
    <t>RAA-ENC24-UPE-02
RAA-ENC24-CE-01</t>
  </si>
  <si>
    <t>25.23647°
51.58650°</t>
  </si>
  <si>
    <t xml:space="preserve"> As per the logs indicating a power interruption.Devices auto Restored before FLM reached the site.</t>
  </si>
  <si>
    <t>Ghulam / SARJOON</t>
  </si>
  <si>
    <t>Sirti-WAN-R3-Ticket-146</t>
  </si>
  <si>
    <t>CB tripped at FP end</t>
  </si>
  <si>
    <t>P002-ENC13-CE-01</t>
  </si>
  <si>
    <t>25.248
51.47325</t>
  </si>
  <si>
    <t>CB tripped at FP side. Site restored after turning on CB</t>
  </si>
  <si>
    <t>Sirti-WAN-R3-Ticket-147</t>
  </si>
  <si>
    <t>3rd party team was working at FP for their activity</t>
  </si>
  <si>
    <t>RAA-Enc24-UPE-01
RAA-Enc24-CE-01</t>
  </si>
  <si>
    <t>Upon FLM arrival, team found 3rd party contractor was working at FP. Device restored after khahrama restored from FP side.</t>
  </si>
  <si>
    <t>Another Sub Contractor</t>
  </si>
  <si>
    <t>Sirti-WAN-R3-Ticket-148</t>
  </si>
  <si>
    <t>P011-Enc55-CE-01</t>
  </si>
  <si>
    <t>25.2209722°
51.5862222°</t>
  </si>
  <si>
    <t>Sirti-WAN-R3-Ticket-149</t>
  </si>
  <si>
    <t>Power Modules stopped working</t>
  </si>
  <si>
    <t>Pwr3 &amp; Pwr4 Modules Stopped Working</t>
  </si>
  <si>
    <t>Routine PPM by P012 Tunnel team</t>
  </si>
  <si>
    <t xml:space="preserve">P012-Enc97-UPE-02 </t>
  </si>
  <si>
    <t>25.1926322°
51.4542203°</t>
  </si>
  <si>
    <t>As per tunnel team, 1 Source is down due ongoing PPM activity. Modules are powered up and under observation.</t>
  </si>
  <si>
    <t>Sirti-WAN-R3-Ticket-150</t>
  </si>
  <si>
    <t>P006-Enc17-UPE-02
P006-Enc17-CE-01</t>
  </si>
  <si>
    <t>25.19542°
 51.454°</t>
  </si>
  <si>
    <t xml:space="preserve">Device rebooted during UPS testing activity. </t>
  </si>
  <si>
    <t>Sirti-WAN-R3-Ticket-151</t>
  </si>
  <si>
    <t>P012-ENC16-CE-01</t>
  </si>
  <si>
    <t>25.2250231°
51.5095445°</t>
  </si>
  <si>
    <t>no power in  the cabinet. Tripped off main ITS-FP- breaker</t>
  </si>
  <si>
    <t xml:space="preserve">Najeeb </t>
  </si>
  <si>
    <t>Sirti-WAN-R3-Ticket-152</t>
  </si>
  <si>
    <t>Sirti-WAN-R3-Ticket-153</t>
  </si>
  <si>
    <t>The UPS has input power, but there is no output power in FP</t>
  </si>
  <si>
    <t>P005-ENC401-CE-01</t>
  </si>
  <si>
    <t>25.31049°
51.45271°</t>
  </si>
  <si>
    <t>Power is available on the Kharama side and is connected to the UPS. The UPS has input power, but there is no output power.  
We will connect the Kahramaa power directly to the cabinet.</t>
  </si>
  <si>
    <t>Non-Maintainer</t>
  </si>
  <si>
    <t>Sirti-WAN-R3-Ticket-154</t>
  </si>
  <si>
    <t xml:space="preserve">Optical module Temperature too High </t>
  </si>
  <si>
    <t>High Temperature</t>
  </si>
  <si>
    <t>25.4322949°
51.1106559°</t>
  </si>
  <si>
    <t>Sirti-WAN-R3-Ticket-155</t>
  </si>
  <si>
    <t>Sirti-WAN-R3-Ticket-156</t>
  </si>
  <si>
    <t>The UPS has input power, but there is no output from the UPS,</t>
  </si>
  <si>
    <t>Power is available from the Kahramaa side, and the UPS has incoming supply.There is no output from the UPS, and the display is not functioning. The cabinet was temporarily connected directly to Kahramaa power by Irshad’s team yesterday. 
After checking incoming power to the UPS is confirmed, but there is still no display and no output.
 The issue is suspected to be with the UPS itself, not the batteries</t>
  </si>
  <si>
    <t>Sirti-WAN-R3-Ticket-157</t>
  </si>
  <si>
    <t xml:space="preserve">UPS CB Tripped </t>
  </si>
  <si>
    <t>UPS input circuit breaker tripped. The schema maintained by ITSQ</t>
  </si>
  <si>
    <t>ITSQ Contractor</t>
  </si>
  <si>
    <t>Patrick</t>
  </si>
  <si>
    <t>Sirti-WAN-R3-Ticket-158</t>
  </si>
  <si>
    <t>The ITSQ team bypass the UPS and directely connect the Kharamaa</t>
  </si>
  <si>
    <t>Sirti-WAN-R3-Ticket-159</t>
  </si>
  <si>
    <t>KAHRAMAA power interruption (alarm is auto clear before visiting the site)</t>
  </si>
  <si>
    <t>P012-ENC17-CE-01</t>
  </si>
  <si>
    <t>25.2323137°
51.5085231°</t>
  </si>
  <si>
    <t>As per the LOGS, device is rebooted (Power Interruption)</t>
  </si>
  <si>
    <t>Sirti-WAN-R3-Ticket-160</t>
  </si>
  <si>
    <t>P012-ENC33-CE-01</t>
  </si>
  <si>
    <t>25.2282194°
51.5019836°</t>
  </si>
  <si>
    <t>Sirti-WAN-R3-Ticket-161</t>
  </si>
  <si>
    <t>P002-ENC01-CE-01</t>
  </si>
  <si>
    <t>25.2632875°
51.4952573°</t>
  </si>
  <si>
    <t>Sirti-WAN-R3-Ticket-162</t>
  </si>
  <si>
    <t>There was a switch-off at the rectifier site on UPS 3 and UPS 4. After switching them back on, the node was powered up</t>
  </si>
  <si>
    <t>All four UPS units and battery sets were checked for input and output voltage, and UPS units are reset and monitored for a few hours; the node operated continuously without failure</t>
  </si>
  <si>
    <t>Sirti-WAN-R3-Ticket-163</t>
  </si>
  <si>
    <t>- No power on cabinet 
- UPS3 and UPS4 CBs were tripped
- UPS1 and UPS2 are in fault mode</t>
  </si>
  <si>
    <t>- FLM found no power on the cabinet as the UPS CB tripped.
- Device restored after switching ON the UPS CB.
- Restarted the UPS1 and UPS2 and cleared the fault</t>
  </si>
  <si>
    <t>Sirti-WAN-R3-Ticket-164</t>
  </si>
  <si>
    <t>Main CB Tripped</t>
  </si>
  <si>
    <t>The circuit breaker in the cabinet has tripped.</t>
  </si>
  <si>
    <t>Sirti-WAN-R3-Ticket-165</t>
  </si>
  <si>
    <t>Temperature higher than Upper threshold</t>
  </si>
  <si>
    <t>AC compressor is faulty and needs replacement. Additionally, the system requires a gas refill and a complete servicing</t>
  </si>
  <si>
    <t>25.111748° 
51.583897°</t>
  </si>
  <si>
    <t>FLM isited the site and checked dual A/C system in WAN cabinet.
AC1: Gas leakage found at pin valve → replaced valve, refilled gas, cleaned unit → tested OK (cooling normal).
AC2: Compressor found faulty → replaced compressor (SECOP SC15G), refilled gas, cleaned unit → tested OK (cooling normal).
Both A/C units are now operational and cooling properly.</t>
  </si>
  <si>
    <t>Sirti-WAN-R3-Ticket-166</t>
  </si>
  <si>
    <t>P060-ENC179-UPE-02</t>
  </si>
  <si>
    <t xml:space="preserve">25.639484°  
51.491537° </t>
  </si>
  <si>
    <t>FLM visited the site and checked dual A/C system in WAN cabinet.
AC1: Gas leakage found at pin valve → replaced valve, refilled R134a gas, cleaned unit → tested OK (cooling normal).
AC2: Compressor missing → installed new compressor (SECOP SC15G), refilled R134a gas, cleaned unit → tested OK (cooling normal).
Both A/C units are now operational and cooling properly.</t>
  </si>
  <si>
    <t>Sirti-WAN-R3-Ticket-167</t>
  </si>
  <si>
    <t>Power module powered off</t>
  </si>
  <si>
    <t>P004- TMC-NPE and P004_DWDM</t>
  </si>
  <si>
    <t>Zone 53</t>
  </si>
  <si>
    <t>25.319385
51.352255</t>
  </si>
  <si>
    <t>KAHRAMAA Maintenance  activity</t>
  </si>
  <si>
    <t>Sirti-WAN-R3-Ticket-168</t>
  </si>
  <si>
    <t>RCCB CB Tripped</t>
  </si>
  <si>
    <t>The circuit breaker in the cabinet has tripped due to unstable power. FLM switched on the RCCB.</t>
  </si>
  <si>
    <t>Sirti-WAN-R3-Ticket-169</t>
  </si>
  <si>
    <t>GE1/0/9 toward Local Node was down</t>
  </si>
  <si>
    <t>Sirti-WAN-R3-Ticket-170</t>
  </si>
  <si>
    <t>Planned activity by FLM to check and verify the power cable from service cabinet to IE5000-1003 enclosure</t>
  </si>
  <si>
    <t xml:space="preserve">Checked and reconnected the power cable inside the IE5000-1003 service cabinet </t>
  </si>
  <si>
    <t>Sirti-WAN-R3-Ticket-171</t>
  </si>
  <si>
    <t>Planned activity by FLM to check and verify the power cable inside IE5000-1003 enclosure</t>
  </si>
  <si>
    <t>Checked and reconnected the power cable inside the IE5000-1003 Enclosure</t>
  </si>
  <si>
    <t>Sirti-WAN-R3-Ticket-172</t>
  </si>
  <si>
    <t>Sirti-WAN-R3-Ticket-173</t>
  </si>
  <si>
    <t>Power interruption due to CB Tripping</t>
  </si>
  <si>
    <t>Reconnect the AC directly to the incoming power supply (instead of through the ELCB) to prevent the node from going down due to AC short faults</t>
  </si>
  <si>
    <t>Sirti-WAN-R3-Ticket-174</t>
  </si>
  <si>
    <t>P010-Enc01-CE-01</t>
  </si>
  <si>
    <t>25.1398815°
51.4073931</t>
  </si>
  <si>
    <t xml:space="preserve">Faulty compressor was replaced with a new LG GJS222PMA model (220–250V, 50Hz, 1PH LRA42.5), along with a new 35 MFD capacitor and copper dry filter. The condenser and compressor were cleaned using nitrogen gas, R22 refrigerant was filled, and the thermostat temperature was set. All AC parts were thoroughly cleaned with a blower and towels, and after testing, the unit was observed to be cooling effectively and operating in good condition </t>
  </si>
  <si>
    <t>Sirti-WAN-R3-Ticket-175</t>
  </si>
  <si>
    <t>main CB is tripped at cabinet side</t>
  </si>
  <si>
    <t>P028C2-ENC-07-CE-01.omc.local</t>
  </si>
  <si>
    <t>Zone 27</t>
  </si>
  <si>
    <t>25.2827572°
51.5448455°</t>
  </si>
  <si>
    <t xml:space="preserve">FLM switched on tripped main CB at cabinet side </t>
  </si>
  <si>
    <t>Hassan</t>
  </si>
  <si>
    <t>Sirti-WAN-R3-Ticket-176</t>
  </si>
  <si>
    <t>device down flapped for 2 min and auto-restored</t>
  </si>
  <si>
    <t>DUK-ENC30-CE-01</t>
  </si>
  <si>
    <t>25.4637854°
50.930279°</t>
  </si>
  <si>
    <t xml:space="preserve">device auto restored after 2 min </t>
  </si>
  <si>
    <t>Sirti-WAN-R3-Ticket-177</t>
  </si>
  <si>
    <t xml:space="preserve">devices wend down while team is working for fixing faulty AC </t>
  </si>
  <si>
    <t>P010-ENC01-CE-01
P010-ENC01-UPE01</t>
  </si>
  <si>
    <t>25.1398815°
51.4073931°</t>
  </si>
  <si>
    <t>Sirti-WAN-R3-Ticket-178</t>
  </si>
  <si>
    <t>device down flapped for 10 min and auto-restored</t>
  </si>
  <si>
    <t>25.30450151
51.51807558</t>
  </si>
  <si>
    <t>Sirti-WAN-R3-Ticket-179</t>
  </si>
  <si>
    <t>AC functioning system is not working properly</t>
  </si>
  <si>
    <t>FLM checked and found the AC condenser and evaporator were blocked. 
FLM cleaned and flushed them using 141B liquid, then dried them with nitrogen gas and a vacuum pump.
 After reinstalling, we refilled with R22 gas and set the temperature. Finally, we cleaned all AC parts with a blower</t>
  </si>
  <si>
    <t>Fixing of Defect</t>
  </si>
  <si>
    <t>Khadar</t>
  </si>
  <si>
    <t>Sirti-WAN-R3-Ticket-180</t>
  </si>
  <si>
    <t>Polaris team is working on site changing power cable</t>
  </si>
  <si>
    <t>FLM reach the site and found Polaris team is working on site for changing power cable</t>
  </si>
  <si>
    <t>masthan</t>
  </si>
  <si>
    <t>Sirti-WAN-R3-Ticket-181</t>
  </si>
  <si>
    <t>Link Down (GE1/0/9 toward the local device)</t>
  </si>
  <si>
    <t>LAN Link Down</t>
  </si>
  <si>
    <t>Port Auto restored before FLM reach the site</t>
  </si>
  <si>
    <t>25.4302156°
51.1497491°</t>
  </si>
  <si>
    <t>Port GE1/0/9 flapped during the incident and Auto restored before FLM reach to the site</t>
  </si>
  <si>
    <t>Sirti-WAN-R3-Ticket-182</t>
  </si>
  <si>
    <t>Sirti-WAN-R3-Ticket-183</t>
  </si>
  <si>
    <t xml:space="preserve">KAHRAMAA power interruption </t>
  </si>
  <si>
    <t>P012-ENC12-CE-01</t>
  </si>
  <si>
    <t>25.2212138°
51.5169228°</t>
  </si>
  <si>
    <t>Kahramaa planned shutdown</t>
  </si>
  <si>
    <t>Sirti-WAN-R3-Ticket-184</t>
  </si>
  <si>
    <t>KAHRAMAA power interruption</t>
  </si>
  <si>
    <t>Sirti-WAN-R3-Ticket-185</t>
  </si>
  <si>
    <t>GE 1/13 down towards 16041-P12-BSW</t>
  </si>
  <si>
    <t>The Link is down towards LAN</t>
  </si>
  <si>
    <t>WAN Link Down</t>
  </si>
  <si>
    <t>Port TE 1/28 towards P012-ENC09-UPE-01 port 40GE 4/0/1 is down</t>
  </si>
  <si>
    <t>Fiber Patch chord raplaced</t>
  </si>
  <si>
    <t>Sirti-WAN-R3-Ticket-186</t>
  </si>
  <si>
    <t>P040-CPE01-ENC01-DSW</t>
  </si>
  <si>
    <t>25.179715 
51.408779</t>
  </si>
  <si>
    <t>Sirti-WAN-R3-Ticket-187</t>
  </si>
  <si>
    <t>Port GE 1/0/9 connected towards Enc34-Local-Node went down</t>
  </si>
  <si>
    <t>Duk-Enc34-CE-01</t>
  </si>
  <si>
    <t>25.4537767°
50.8835078°</t>
  </si>
  <si>
    <t xml:space="preserve">FLM checked ethernet and POE connections for the camera and found all connections are normally fixed ,suspected weather condition </t>
  </si>
  <si>
    <t>High wind Event</t>
  </si>
  <si>
    <t>farouk</t>
  </si>
  <si>
    <t>Sirti-WAN-R3-Ticket-188</t>
  </si>
  <si>
    <t>no abnormal observations on site</t>
  </si>
  <si>
    <t>25.1165799° 
51.1812367°</t>
  </si>
  <si>
    <t xml:space="preserve">Alarm is auto clear before reaching the site , FLM visited and checked all power connections and found all connections are normally connected </t>
  </si>
  <si>
    <t>umair</t>
  </si>
  <si>
    <t>Sirti-WAN-R3-Ticket-189</t>
  </si>
  <si>
    <t>Sirti-WAN-R3-Ticket-190</t>
  </si>
  <si>
    <t xml:space="preserve">Link Down </t>
  </si>
  <si>
    <t>Team found no power in cabinet</t>
  </si>
  <si>
    <t>25.3344995°
51.5180512</t>
  </si>
  <si>
    <t>LAN cabinet main breaker tripped due to street light CB fault; devices restored after Cabinet breaker reset</t>
  </si>
  <si>
    <t>Sirti-WAN-R3-Ticket-191</t>
  </si>
  <si>
    <t>FLM found fiber cable was burnt inside the ITS chamber, with the fault located about 390 meters from JN-6401. The suspected cause is a fire originating from an advertisement board installed above the chamber, which resulted in damage to the PWA fiber cable.</t>
  </si>
  <si>
    <t>P003-ENC40-UPE-02</t>
  </si>
  <si>
    <t>25.3344995°
51.5180512°</t>
  </si>
  <si>
    <t xml:space="preserve"> installed new fiber cable &amp; Spliced 24 core in enclosure chamber 11 and JN-6401</t>
  </si>
  <si>
    <t>Fire</t>
  </si>
  <si>
    <t>Sirti-WAN-R3-Ticket-192</t>
  </si>
  <si>
    <t>1x10G Link (TE 1/0/10) went down and auto restored</t>
  </si>
  <si>
    <t>P005-TCR-CE-02</t>
  </si>
  <si>
    <t> 25.3199307
51.447548</t>
  </si>
  <si>
    <t>Link auto restored after 5min.</t>
  </si>
  <si>
    <t>GBDG Contractor</t>
  </si>
  <si>
    <t>Sirti-WAN-R3-Ticket-193</t>
  </si>
  <si>
    <t>P059C1-N3-Enc20-CE-01</t>
  </si>
  <si>
    <t>25.44194931°
51.41112813°</t>
  </si>
  <si>
    <t>Sirti-WAN-R3-Ticket-194</t>
  </si>
  <si>
    <t>Planned activity by kahrama for transformer replacement at FP</t>
  </si>
  <si>
    <t>Sirti-WAN-R3-Ticket-195</t>
  </si>
  <si>
    <t>P023C3-ENC174-UPE-02
P023C3-ENC174-CE-02</t>
  </si>
  <si>
    <t>25.0168866° 
51.490473°</t>
  </si>
  <si>
    <t>Sirti-WAN-R3-Ticket-196</t>
  </si>
  <si>
    <t>24.8301249° 
50.8705931°</t>
  </si>
  <si>
    <t>Sirti-WAN-R3-Ticket-197</t>
  </si>
  <si>
    <t xml:space="preserve">PLanned activity for UPS battery replacment </t>
  </si>
  <si>
    <t>25.1700975°
51.4699752°</t>
  </si>
  <si>
    <t>UPS batteries replacement activity was successfully completed</t>
  </si>
  <si>
    <t xml:space="preserve">Farooq </t>
  </si>
  <si>
    <t>Sirti-WAN-R3-Ticket-198</t>
  </si>
  <si>
    <t>corevit company team is performing activity at SOC P007</t>
  </si>
  <si>
    <t>P007C2-170018-R2-CSW</t>
  </si>
  <si>
    <t> 25.2942202
51.4657002</t>
  </si>
  <si>
    <t xml:space="preserve">multiple ports are flapped due to corevit company activity at control room </t>
  </si>
  <si>
    <t>corevit contractor</t>
  </si>
  <si>
    <t xml:space="preserve">umair </t>
  </si>
  <si>
    <t>Sirti-WAN-R3-Ticket-199</t>
  </si>
  <si>
    <t>Sirti-WAN-R3-Ticket-200</t>
  </si>
  <si>
    <t>AC CB was tripped</t>
  </si>
  <si>
    <t>P059C1-ENC23-UPE-02</t>
  </si>
  <si>
    <t>25.4516333°
51.4090805°</t>
  </si>
  <si>
    <t>The FLM team serviced one A/C and confirmed it is working properly. The other A/C remains off, and its compressor replacement is scheduled.</t>
  </si>
  <si>
    <t>Rizwan / Eric</t>
  </si>
  <si>
    <t>Sirti-WAN-R3-Ticket-201</t>
  </si>
  <si>
    <t>CB at FP side tripped</t>
  </si>
  <si>
    <t>P059C1-ENC23-UPE-02
P059C1-ENC23-CE-01</t>
  </si>
  <si>
    <t>Main CB at FP was tripped. Devices restored after turning CB ON</t>
  </si>
  <si>
    <t>Sirti-WAN-R3-Ticket-202</t>
  </si>
  <si>
    <t>P059C1-ENC04-UPE-01</t>
  </si>
  <si>
    <t>The FLM team performed general servicing for the A/C and ensured that the A/C system is working properly</t>
  </si>
  <si>
    <t>Sirti-WAN-R3-Ticket-203</t>
  </si>
  <si>
    <t>Optical Rx power for the uplink was very low at P003-ENC41</t>
  </si>
  <si>
    <t>IE5000-6009</t>
  </si>
  <si>
    <t>25.3233945337°
51.5360444444°</t>
  </si>
  <si>
    <t>The FLM team inspected the uplink fiber route, cleaned it, and adjusted the bends at P003-ENC41, which improved the optical power levels and brought the port up. An OTDR test activity has been scheduled to further optimize the optical power.</t>
  </si>
  <si>
    <t>Sirti-WAN-R3-Ticket-204</t>
  </si>
  <si>
    <t>CPU Temperature too high</t>
  </si>
  <si>
    <t xml:space="preserve">Current temperature is 56°C at SFU board 6 </t>
  </si>
  <si>
    <t>P008C3-ENC25-UPE-02</t>
  </si>
  <si>
    <t>There is issue with AC and schema maintained by Salam Tech</t>
  </si>
  <si>
    <t xml:space="preserve">3rd Party </t>
  </si>
  <si>
    <t>Sirti-WAN-R3-Ticket-205</t>
  </si>
  <si>
    <t>Power interruption (CB tripped) in control room</t>
  </si>
  <si>
    <t>P003_DWDM</t>
  </si>
  <si>
    <t>25.3730597
51.5247872</t>
  </si>
  <si>
    <t>As per discussion with Mr.Tahir (EGIS-Control room), The CB is tripped near the fire alarm.
 No service impact as device working on redundant power modules</t>
  </si>
  <si>
    <t>Egis</t>
  </si>
  <si>
    <t>Sirti-WAN-R3-Ticket-206</t>
  </si>
  <si>
    <t>MCB tripped at ITS FP</t>
  </si>
  <si>
    <t>Zone 38</t>
  </si>
  <si>
    <t>25.281278°
51.503972°</t>
  </si>
  <si>
    <t>The MCB had tripped at the ITS FP. The field engineer turned it back ON, and the device is now reachable.</t>
  </si>
  <si>
    <t>Sirti-WAN-R3-Ticket-207</t>
  </si>
  <si>
    <t>Sirti-WAN-R3-Ticket-208</t>
  </si>
  <si>
    <t>Port GE1/0/9 Auto restored before FLM reach to the site</t>
  </si>
  <si>
    <t>Sirti-WAN-R3-Ticket-209</t>
  </si>
  <si>
    <t>25.164986° 
51.3063942°</t>
  </si>
  <si>
    <t>Sirti-WAN-R3-Ticket-210</t>
  </si>
  <si>
    <t>25.1435454° 
51.2478413°</t>
  </si>
  <si>
    <t>SAL-ENC26-CE-01 Port 25GE 1/0/4 connected to (S-Node-25) was down due to Kahramaa planned shutdown</t>
  </si>
  <si>
    <t>Sirti-WAN-R3-Ticket-211</t>
  </si>
  <si>
    <t>P011-Enc01-CE-01</t>
  </si>
  <si>
    <t>25.1812793°
51.5013254°</t>
  </si>
  <si>
    <t>Sirti-WAN-R3-Ticket-212</t>
  </si>
  <si>
    <t>There was no power inside the cabinet due to high temperature at cabinet</t>
  </si>
  <si>
    <t>P006-ECN17-UPE-02
P006-ENC17-CE-01</t>
  </si>
  <si>
    <t>FLM team kept the cabinet open to cool down and scheduled for A/C system inspection</t>
  </si>
  <si>
    <t>Salem Haj</t>
  </si>
  <si>
    <t>Sirti-WAN-R3-Ticket-213</t>
  </si>
  <si>
    <t>Sirti-WAN-R3-Ticket-214</t>
  </si>
  <si>
    <t>There was no output power from the UPS due to high temperature inside the cabinet</t>
  </si>
  <si>
    <t>FLM team restarted the UPS</t>
  </si>
  <si>
    <t>Sirti-WAN-R3-Ticket-215</t>
  </si>
  <si>
    <t>A/C system was not working properly, FLM team was on site to repair the A/C system</t>
  </si>
  <si>
    <t xml:space="preserve">Team replaced faulty condenser fan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</si>
</sst>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dd/mm/yy\ hh:mm"/>
    <numFmt numFmtId="166" formatCode="m/d/yyyy\ h:mm:ss"/>
    <numFmt numFmtId="167" formatCode="mm/dd/yyyy\ h:mm:ss"/>
    <numFmt numFmtId="168" formatCode="mm/dd/yyyy\ h:mm"/>
    <numFmt numFmtId="169" formatCode="d/m/yyyy\ hh:mm:ss"/>
  </numFmts>
  <fonts count="9" x14ac:knownFonts="1">
    <font>
      <sz val="10"/>
      <color rgb="FF000000"/>
      <name val="Arial"/>
      <scheme val="minor"/>
    </font>
    <font>
      <b/>
      <sz val="12"/>
      <color rgb="FFFFFFFF"/>
      <name val="Arial"/>
      <family val="2"/>
    </font>
    <font>
      <sz val="12"/>
      <color rgb="FFFFFFFF"/>
      <name val="Arial"/>
      <family val="2"/>
    </font>
    <font>
      <sz val="12"/>
      <color theme="0"/>
      <name val="Arial"/>
      <family val="2"/>
    </font>
    <font>
      <sz val="11"/>
      <color theme="1"/>
      <name val="Arial"/>
      <family val="2"/>
    </font>
    <font>
      <sz val="11"/>
      <color rgb="FF000000"/>
      <name val="Arial"/>
      <family val="2"/>
    </font>
    <font>
      <sz val="10"/>
      <color theme="1"/>
      <name val="Arial"/>
      <family val="2"/>
      <scheme val="minor"/>
    </font>
    <font>
      <sz val="10"/>
      <name val="Arial"/>
      <family val="2"/>
    </font>
    <font>
      <sz val="11"/>
      <color rgb="FF000000"/>
      <name val="Calibri"/>
      <family val="2"/>
    </font>
  </fonts>
  <fills count="7">
    <fill>
      <patternFill patternType="none"/>
    </fill>
    <fill>
      <patternFill patternType="gray125"/>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
      <patternFill patternType="solid">
        <fgColor rgb="FFF6F8F9"/>
        <bgColor rgb="FFF6F8F9"/>
      </patternFill>
    </fill>
  </fills>
  <borders count="9">
    <border>
      <left/>
      <right/>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2" borderId="3" xfId="0" applyFont="1" applyFill="1" applyBorder="1" applyAlignment="1">
      <alignment horizontal="center" vertical="center"/>
    </xf>
    <xf numFmtId="0" fontId="4" fillId="0" borderId="3" xfId="0" applyFont="1" applyBorder="1" applyAlignment="1">
      <alignment horizontal="center" vertical="center"/>
    </xf>
    <xf numFmtId="164" fontId="4" fillId="0" borderId="3" xfId="0" applyNumberFormat="1" applyFont="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0" borderId="3" xfId="0" applyFont="1" applyBorder="1" applyAlignment="1">
      <alignment horizontal="center" vertical="center" wrapText="1"/>
    </xf>
    <xf numFmtId="165" fontId="4" fillId="0" borderId="3" xfId="0" applyNumberFormat="1" applyFont="1" applyBorder="1" applyAlignment="1">
      <alignment horizontal="center" vertical="center" wrapText="1"/>
    </xf>
    <xf numFmtId="1" fontId="4" fillId="0" borderId="3" xfId="0" applyNumberFormat="1"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wrapText="1"/>
    </xf>
    <xf numFmtId="166" fontId="4" fillId="0" borderId="3" xfId="0" applyNumberFormat="1" applyFont="1" applyBorder="1" applyAlignment="1">
      <alignment horizontal="center" vertical="center" wrapText="1"/>
    </xf>
    <xf numFmtId="166" fontId="4" fillId="0" borderId="3" xfId="0" applyNumberFormat="1" applyFont="1" applyBorder="1" applyAlignment="1">
      <alignment horizontal="center" vertical="center"/>
    </xf>
    <xf numFmtId="0" fontId="4" fillId="0" borderId="0" xfId="0" applyFont="1" applyAlignment="1">
      <alignment horizontal="center" vertical="center"/>
    </xf>
    <xf numFmtId="0" fontId="5" fillId="5" borderId="3" xfId="0" applyFont="1" applyFill="1" applyBorder="1" applyAlignment="1">
      <alignment horizontal="center" vertical="center"/>
    </xf>
    <xf numFmtId="22" fontId="4" fillId="0" borderId="3" xfId="0" applyNumberFormat="1" applyFont="1" applyBorder="1" applyAlignment="1">
      <alignment horizontal="center" vertical="center"/>
    </xf>
    <xf numFmtId="167" fontId="4" fillId="0" borderId="3" xfId="0" applyNumberFormat="1" applyFont="1" applyBorder="1" applyAlignment="1">
      <alignment horizontal="center" vertical="center"/>
    </xf>
    <xf numFmtId="0" fontId="5" fillId="0" borderId="4" xfId="0" applyFont="1" applyBorder="1" applyAlignment="1">
      <alignment horizontal="center" vertical="center" wrapText="1"/>
    </xf>
    <xf numFmtId="22" fontId="4" fillId="0" borderId="3"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166" fontId="6" fillId="0" borderId="3" xfId="0" applyNumberFormat="1" applyFont="1" applyBorder="1" applyAlignment="1">
      <alignment horizontal="center" vertical="center"/>
    </xf>
    <xf numFmtId="167" fontId="6" fillId="0" borderId="3" xfId="0" applyNumberFormat="1" applyFont="1" applyBorder="1" applyAlignment="1">
      <alignment horizontal="center" vertical="center"/>
    </xf>
    <xf numFmtId="0" fontId="8" fillId="0" borderId="5" xfId="0" applyFont="1" applyBorder="1" applyAlignment="1">
      <alignment horizontal="center"/>
    </xf>
    <xf numFmtId="168" fontId="6" fillId="0" borderId="3" xfId="0" applyNumberFormat="1" applyFont="1" applyBorder="1" applyAlignment="1">
      <alignment horizontal="center" vertical="center"/>
    </xf>
    <xf numFmtId="169" fontId="6" fillId="0" borderId="3" xfId="0" applyNumberFormat="1" applyFont="1" applyBorder="1" applyAlignment="1">
      <alignment horizontal="center" vertical="center"/>
    </xf>
    <xf numFmtId="0" fontId="4" fillId="6" borderId="3" xfId="0" applyFont="1" applyFill="1" applyBorder="1" applyAlignment="1">
      <alignment horizontal="center" vertical="center"/>
    </xf>
    <xf numFmtId="0" fontId="5" fillId="6" borderId="3" xfId="0" applyFont="1" applyFill="1" applyBorder="1" applyAlignment="1">
      <alignment horizontal="center" vertical="center"/>
    </xf>
    <xf numFmtId="164" fontId="4" fillId="6" borderId="3"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167" fontId="6" fillId="6"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4" fillId="0" borderId="5" xfId="0" applyFont="1" applyBorder="1" applyAlignment="1">
      <alignment horizontal="center" vertical="center"/>
    </xf>
    <xf numFmtId="0" fontId="7" fillId="0" borderId="6" xfId="0" applyFont="1" applyBorder="1"/>
    <xf numFmtId="0" fontId="7" fillId="0" borderId="7" xfId="0" applyFont="1" applyBorder="1"/>
    <xf numFmtId="0" fontId="5" fillId="0" borderId="8" xfId="0" applyFont="1" applyBorder="1" applyAlignment="1">
      <alignment horizontal="center" vertical="center"/>
    </xf>
    <xf numFmtId="0" fontId="7" fillId="0" borderId="8" xfId="0" applyFont="1" applyBorder="1"/>
    <xf numFmtId="0" fontId="7" fillId="0" borderId="4" xfId="0" applyFont="1" applyBorder="1"/>
    <xf numFmtId="0" fontId="4" fillId="5" borderId="5" xfId="0" applyFont="1" applyFill="1" applyBorder="1" applyAlignment="1">
      <alignment horizontal="center" vertical="center"/>
    </xf>
    <xf numFmtId="0" fontId="5" fillId="0" borderId="5" xfId="0" applyFont="1" applyBorder="1" applyAlignment="1">
      <alignment horizontal="center" vertical="center"/>
    </xf>
    <xf numFmtId="0" fontId="4" fillId="0" borderId="5" xfId="0" applyFont="1" applyBorder="1" applyAlignment="1">
      <alignment horizontal="center" vertical="center" wrapText="1"/>
    </xf>
    <xf numFmtId="0" fontId="5" fillId="5" borderId="5" xfId="0" applyFont="1" applyFill="1" applyBorder="1" applyAlignment="1">
      <alignment horizontal="center" vertical="center"/>
    </xf>
    <xf numFmtId="164" fontId="4" fillId="0" borderId="5"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41"/>
  <sheetViews>
    <sheetView tabSelected="1" zoomScale="70" zoomScaleNormal="70" workbookViewId="0">
      <pane xSplit="4" ySplit="1" topLeftCell="T2" activePane="bottomRight" state="frozen"/>
      <selection pane="topRight" activeCell="E1" sqref="E1"/>
      <selection pane="bottomLeft" activeCell="A2" sqref="A2"/>
      <selection pane="bottomRight" activeCell="W10" sqref="W10"/>
    </sheetView>
  </sheetViews>
  <sheetFormatPr defaultColWidth="12.5703125" defaultRowHeight="15" customHeight="1" x14ac:dyDescent="0.2"/>
  <cols>
    <col min="1" max="1" width="5.28515625" customWidth="1"/>
    <col min="2" max="2" width="26.28515625" bestFit="1" customWidth="1"/>
    <col min="3" max="3" width="12.42578125" customWidth="1"/>
    <col min="4" max="4" width="14.85546875" customWidth="1"/>
    <col min="5" max="5" width="18.28515625" customWidth="1"/>
    <col min="6" max="6" width="42.42578125" customWidth="1"/>
    <col min="7" max="7" width="30" customWidth="1"/>
    <col min="8" max="8" width="97.140625" customWidth="1"/>
    <col min="9" max="9" width="50.42578125" customWidth="1"/>
    <col min="10" max="11" width="23" customWidth="1"/>
    <col min="12" max="12" width="33.85546875" bestFit="1" customWidth="1"/>
    <col min="13" max="14" width="23" customWidth="1"/>
    <col min="15" max="20" width="24.140625" customWidth="1"/>
    <col min="21" max="21" width="24.7109375" customWidth="1"/>
    <col min="22" max="22" width="104.140625" customWidth="1"/>
    <col min="23" max="23" width="15" bestFit="1" customWidth="1"/>
    <col min="24" max="24" width="19.140625" customWidth="1"/>
    <col min="25" max="25" width="31.5703125" customWidth="1"/>
    <col min="26" max="26" width="41.7109375" customWidth="1"/>
    <col min="27" max="27" width="23.85546875" customWidth="1"/>
    <col min="28" max="28" width="18.140625" customWidth="1"/>
  </cols>
  <sheetData>
    <row r="1" spans="1:28" ht="66.75" customHeight="1" x14ac:dyDescent="0.2">
      <c r="A1" s="1" t="s">
        <v>0</v>
      </c>
      <c r="B1" s="1" t="s">
        <v>1</v>
      </c>
      <c r="C1" s="1" t="s">
        <v>2</v>
      </c>
      <c r="D1" s="1" t="s">
        <v>3</v>
      </c>
      <c r="E1" s="2" t="s">
        <v>4</v>
      </c>
      <c r="F1" s="1" t="s">
        <v>5</v>
      </c>
      <c r="G1" s="1" t="s">
        <v>6</v>
      </c>
      <c r="H1" s="1" t="s">
        <v>7</v>
      </c>
      <c r="I1" s="1" t="s">
        <v>8</v>
      </c>
      <c r="J1" s="3" t="s">
        <v>9</v>
      </c>
      <c r="K1" s="1" t="s">
        <v>10</v>
      </c>
      <c r="L1" s="1" t="s">
        <v>11</v>
      </c>
      <c r="M1" s="1" t="s">
        <v>12</v>
      </c>
      <c r="N1" s="1" t="s">
        <v>13</v>
      </c>
      <c r="O1" s="4" t="s">
        <v>14</v>
      </c>
      <c r="P1" s="5" t="s">
        <v>15</v>
      </c>
      <c r="Q1" s="5" t="s">
        <v>16</v>
      </c>
      <c r="R1" s="5" t="s">
        <v>17</v>
      </c>
      <c r="S1" s="5" t="s">
        <v>18</v>
      </c>
      <c r="T1" s="5" t="s">
        <v>19</v>
      </c>
      <c r="U1" s="5" t="s">
        <v>20</v>
      </c>
      <c r="V1" s="1" t="s">
        <v>21</v>
      </c>
      <c r="W1" s="1" t="s">
        <v>22</v>
      </c>
      <c r="X1" s="6" t="s">
        <v>23</v>
      </c>
      <c r="Y1" s="6" t="s">
        <v>24</v>
      </c>
      <c r="Z1" s="6" t="s">
        <v>25</v>
      </c>
      <c r="AA1" s="1" t="s">
        <v>26</v>
      </c>
      <c r="AB1" s="7" t="s">
        <v>27</v>
      </c>
    </row>
    <row r="2" spans="1:28" ht="14.25" x14ac:dyDescent="0.2">
      <c r="A2" s="8">
        <v>1</v>
      </c>
      <c r="B2" s="8" t="s">
        <v>28</v>
      </c>
      <c r="C2" s="8" t="s">
        <v>28</v>
      </c>
      <c r="D2" s="9">
        <v>46054</v>
      </c>
      <c r="E2" s="10" t="s">
        <v>29</v>
      </c>
      <c r="F2" s="10" t="s">
        <v>30</v>
      </c>
      <c r="G2" s="10" t="s">
        <v>31</v>
      </c>
      <c r="H2" s="11" t="s">
        <v>32</v>
      </c>
      <c r="I2" s="12" t="s">
        <v>33</v>
      </c>
      <c r="J2" s="8"/>
      <c r="K2" s="8" t="s">
        <v>34</v>
      </c>
      <c r="L2" s="8" t="s">
        <v>35</v>
      </c>
      <c r="M2" s="8" t="s">
        <v>36</v>
      </c>
      <c r="N2" s="8" t="s">
        <v>37</v>
      </c>
      <c r="O2" s="13">
        <v>46054.36041666667</v>
      </c>
      <c r="P2" s="13">
        <v>46054.36041666667</v>
      </c>
      <c r="Q2" s="14">
        <f t="shared" ref="Q2:Q241" si="0">(P2-O2)*60*24</f>
        <v>0</v>
      </c>
      <c r="R2" s="13">
        <v>46054.36041666667</v>
      </c>
      <c r="S2" s="13">
        <v>46054.581250000003</v>
      </c>
      <c r="T2" s="14">
        <f t="shared" ref="T2:T241" si="1">(S2-R2)*60*24</f>
        <v>317.99999999930151</v>
      </c>
      <c r="U2" s="14">
        <f t="shared" ref="U2:U241" si="2">(S2-O2)*60*24</f>
        <v>317.99999999930151</v>
      </c>
      <c r="V2" s="12" t="s">
        <v>38</v>
      </c>
      <c r="W2" s="8" t="s">
        <v>39</v>
      </c>
      <c r="X2" s="15" t="s">
        <v>40</v>
      </c>
      <c r="Y2" s="15" t="s">
        <v>41</v>
      </c>
      <c r="Z2" s="15" t="s">
        <v>42</v>
      </c>
      <c r="AA2" s="8" t="s">
        <v>43</v>
      </c>
      <c r="AB2" s="8"/>
    </row>
    <row r="3" spans="1:28" ht="14.25" x14ac:dyDescent="0.2">
      <c r="A3" s="8">
        <v>2</v>
      </c>
      <c r="B3" s="8" t="s">
        <v>28</v>
      </c>
      <c r="C3" s="8" t="s">
        <v>28</v>
      </c>
      <c r="D3" s="9">
        <v>46055</v>
      </c>
      <c r="E3" s="10" t="s">
        <v>29</v>
      </c>
      <c r="F3" s="10" t="s">
        <v>30</v>
      </c>
      <c r="G3" s="10" t="s">
        <v>31</v>
      </c>
      <c r="H3" s="11" t="s">
        <v>44</v>
      </c>
      <c r="I3" s="12" t="s">
        <v>45</v>
      </c>
      <c r="J3" s="8"/>
      <c r="K3" s="8" t="s">
        <v>46</v>
      </c>
      <c r="L3" s="8" t="s">
        <v>47</v>
      </c>
      <c r="M3" s="8" t="s">
        <v>36</v>
      </c>
      <c r="N3" s="8" t="s">
        <v>37</v>
      </c>
      <c r="O3" s="13">
        <v>46055.544444444444</v>
      </c>
      <c r="P3" s="13">
        <v>46055.544444444444</v>
      </c>
      <c r="Q3" s="14">
        <f t="shared" si="0"/>
        <v>0</v>
      </c>
      <c r="R3" s="13">
        <v>46055.544444444444</v>
      </c>
      <c r="S3" s="13">
        <v>46055.547222222223</v>
      </c>
      <c r="T3" s="14">
        <f t="shared" si="1"/>
        <v>4.0000000025611371</v>
      </c>
      <c r="U3" s="14">
        <f t="shared" si="2"/>
        <v>4.0000000025611371</v>
      </c>
      <c r="V3" s="12" t="s">
        <v>48</v>
      </c>
      <c r="W3" s="8" t="s">
        <v>39</v>
      </c>
      <c r="X3" s="15" t="s">
        <v>40</v>
      </c>
      <c r="Y3" s="15" t="s">
        <v>41</v>
      </c>
      <c r="Z3" s="15" t="s">
        <v>49</v>
      </c>
      <c r="AA3" s="8" t="s">
        <v>43</v>
      </c>
      <c r="AB3" s="8"/>
    </row>
    <row r="4" spans="1:28" ht="14.25" x14ac:dyDescent="0.2">
      <c r="A4" s="8">
        <v>3</v>
      </c>
      <c r="B4" s="8" t="s">
        <v>28</v>
      </c>
      <c r="C4" s="8" t="s">
        <v>28</v>
      </c>
      <c r="D4" s="9">
        <v>46055</v>
      </c>
      <c r="E4" s="10" t="s">
        <v>29</v>
      </c>
      <c r="F4" s="10" t="s">
        <v>30</v>
      </c>
      <c r="G4" s="10" t="s">
        <v>31</v>
      </c>
      <c r="H4" s="11" t="s">
        <v>50</v>
      </c>
      <c r="I4" s="12" t="s">
        <v>51</v>
      </c>
      <c r="J4" s="8"/>
      <c r="K4" s="8" t="s">
        <v>29</v>
      </c>
      <c r="L4" s="8" t="s">
        <v>29</v>
      </c>
      <c r="M4" s="8" t="s">
        <v>29</v>
      </c>
      <c r="N4" s="8" t="s">
        <v>37</v>
      </c>
      <c r="O4" s="13">
        <v>46055.28402777778</v>
      </c>
      <c r="P4" s="13">
        <v>46055.28402777778</v>
      </c>
      <c r="Q4" s="14">
        <f t="shared" si="0"/>
        <v>0</v>
      </c>
      <c r="R4" s="13">
        <v>46055.28402777778</v>
      </c>
      <c r="S4" s="13">
        <v>46055.284722222219</v>
      </c>
      <c r="T4" s="14">
        <f t="shared" si="1"/>
        <v>0.99999999278225005</v>
      </c>
      <c r="U4" s="14">
        <f t="shared" si="2"/>
        <v>0.99999999278225005</v>
      </c>
      <c r="V4" s="12" t="s">
        <v>52</v>
      </c>
      <c r="W4" s="8" t="s">
        <v>39</v>
      </c>
      <c r="X4" s="15" t="s">
        <v>40</v>
      </c>
      <c r="Y4" s="15" t="s">
        <v>41</v>
      </c>
      <c r="Z4" s="15" t="s">
        <v>53</v>
      </c>
      <c r="AA4" s="8" t="s">
        <v>43</v>
      </c>
      <c r="AB4" s="8"/>
    </row>
    <row r="5" spans="1:28" ht="28.5" x14ac:dyDescent="0.2">
      <c r="A5" s="8">
        <v>4</v>
      </c>
      <c r="B5" s="8" t="s">
        <v>28</v>
      </c>
      <c r="C5" s="8" t="s">
        <v>28</v>
      </c>
      <c r="D5" s="9">
        <v>46057</v>
      </c>
      <c r="E5" s="10" t="s">
        <v>54</v>
      </c>
      <c r="F5" s="10" t="s">
        <v>30</v>
      </c>
      <c r="G5" s="10" t="s">
        <v>55</v>
      </c>
      <c r="H5" s="11" t="s">
        <v>56</v>
      </c>
      <c r="I5" s="12" t="s">
        <v>57</v>
      </c>
      <c r="J5" s="8"/>
      <c r="K5" s="8" t="s">
        <v>46</v>
      </c>
      <c r="L5" s="8" t="s">
        <v>58</v>
      </c>
      <c r="M5" s="8" t="s">
        <v>36</v>
      </c>
      <c r="N5" s="8" t="s">
        <v>37</v>
      </c>
      <c r="O5" s="13">
        <v>46057.291666666664</v>
      </c>
      <c r="P5" s="13">
        <v>46057.291666666664</v>
      </c>
      <c r="Q5" s="14">
        <f t="shared" si="0"/>
        <v>0</v>
      </c>
      <c r="R5" s="13">
        <v>46057.333333333336</v>
      </c>
      <c r="S5" s="13">
        <v>46057.577777777777</v>
      </c>
      <c r="T5" s="14">
        <f t="shared" si="1"/>
        <v>351.99999999487773</v>
      </c>
      <c r="U5" s="14">
        <f t="shared" si="2"/>
        <v>412.00000000186265</v>
      </c>
      <c r="V5" s="12" t="s">
        <v>59</v>
      </c>
      <c r="W5" s="8" t="s">
        <v>39</v>
      </c>
      <c r="X5" s="15" t="s">
        <v>40</v>
      </c>
      <c r="Y5" s="15" t="s">
        <v>41</v>
      </c>
      <c r="Z5" s="15" t="s">
        <v>42</v>
      </c>
      <c r="AA5" s="8" t="s">
        <v>43</v>
      </c>
      <c r="AB5" s="8"/>
    </row>
    <row r="6" spans="1:28" ht="14.25" x14ac:dyDescent="0.2">
      <c r="A6" s="8">
        <v>5</v>
      </c>
      <c r="B6" s="8" t="s">
        <v>28</v>
      </c>
      <c r="C6" s="8" t="s">
        <v>28</v>
      </c>
      <c r="D6" s="9">
        <v>46058</v>
      </c>
      <c r="E6" s="10" t="s">
        <v>29</v>
      </c>
      <c r="F6" s="10" t="s">
        <v>30</v>
      </c>
      <c r="G6" s="10" t="s">
        <v>60</v>
      </c>
      <c r="H6" s="11" t="s">
        <v>44</v>
      </c>
      <c r="I6" s="12" t="s">
        <v>45</v>
      </c>
      <c r="J6" s="8"/>
      <c r="K6" s="8" t="s">
        <v>46</v>
      </c>
      <c r="L6" s="8" t="s">
        <v>47</v>
      </c>
      <c r="M6" s="8" t="s">
        <v>36</v>
      </c>
      <c r="N6" s="8" t="s">
        <v>37</v>
      </c>
      <c r="O6" s="13">
        <v>46058.532638888886</v>
      </c>
      <c r="P6" s="13">
        <v>46058.532638888886</v>
      </c>
      <c r="Q6" s="14">
        <f t="shared" si="0"/>
        <v>0</v>
      </c>
      <c r="R6" s="13">
        <v>46058.532638888886</v>
      </c>
      <c r="S6" s="13">
        <v>46058.534722222219</v>
      </c>
      <c r="T6" s="14">
        <f t="shared" si="1"/>
        <v>2.9999999993015081</v>
      </c>
      <c r="U6" s="14">
        <f t="shared" si="2"/>
        <v>2.9999999993015081</v>
      </c>
      <c r="V6" s="12" t="s">
        <v>61</v>
      </c>
      <c r="W6" s="8" t="s">
        <v>39</v>
      </c>
      <c r="X6" s="15" t="s">
        <v>40</v>
      </c>
      <c r="Y6" s="15" t="s">
        <v>41</v>
      </c>
      <c r="Z6" s="15" t="s">
        <v>49</v>
      </c>
      <c r="AA6" s="8" t="s">
        <v>43</v>
      </c>
      <c r="AB6" s="8"/>
    </row>
    <row r="7" spans="1:28" ht="14.25" x14ac:dyDescent="0.2">
      <c r="A7" s="8">
        <v>6</v>
      </c>
      <c r="B7" s="8" t="s">
        <v>28</v>
      </c>
      <c r="C7" s="8" t="s">
        <v>28</v>
      </c>
      <c r="D7" s="9">
        <v>46058</v>
      </c>
      <c r="E7" s="10" t="s">
        <v>29</v>
      </c>
      <c r="F7" s="10" t="s">
        <v>30</v>
      </c>
      <c r="G7" s="10" t="s">
        <v>60</v>
      </c>
      <c r="H7" s="11" t="s">
        <v>44</v>
      </c>
      <c r="I7" s="12" t="s">
        <v>45</v>
      </c>
      <c r="J7" s="8"/>
      <c r="K7" s="8" t="s">
        <v>46</v>
      </c>
      <c r="L7" s="8" t="s">
        <v>47</v>
      </c>
      <c r="M7" s="8" t="s">
        <v>36</v>
      </c>
      <c r="N7" s="8" t="s">
        <v>37</v>
      </c>
      <c r="O7" s="13">
        <v>46058.600694444445</v>
      </c>
      <c r="P7" s="13">
        <v>46058.600694444445</v>
      </c>
      <c r="Q7" s="14">
        <f t="shared" si="0"/>
        <v>0</v>
      </c>
      <c r="R7" s="13">
        <v>46058.600694444445</v>
      </c>
      <c r="S7" s="13">
        <v>46058.60833333333</v>
      </c>
      <c r="T7" s="14">
        <f t="shared" si="1"/>
        <v>10.999999993946403</v>
      </c>
      <c r="U7" s="14">
        <f t="shared" si="2"/>
        <v>10.999999993946403</v>
      </c>
      <c r="V7" s="12" t="s">
        <v>62</v>
      </c>
      <c r="W7" s="8" t="s">
        <v>39</v>
      </c>
      <c r="X7" s="15" t="s">
        <v>40</v>
      </c>
      <c r="Y7" s="15" t="s">
        <v>41</v>
      </c>
      <c r="Z7" s="15" t="s">
        <v>49</v>
      </c>
      <c r="AA7" s="8" t="s">
        <v>43</v>
      </c>
      <c r="AB7" s="8"/>
    </row>
    <row r="8" spans="1:28" ht="14.25" x14ac:dyDescent="0.2">
      <c r="A8" s="8">
        <v>7</v>
      </c>
      <c r="B8" s="8" t="s">
        <v>28</v>
      </c>
      <c r="C8" s="8" t="s">
        <v>28</v>
      </c>
      <c r="D8" s="9">
        <v>46059</v>
      </c>
      <c r="E8" s="10" t="s">
        <v>54</v>
      </c>
      <c r="F8" s="10" t="s">
        <v>30</v>
      </c>
      <c r="G8" s="10" t="s">
        <v>55</v>
      </c>
      <c r="H8" s="11" t="s">
        <v>63</v>
      </c>
      <c r="I8" s="12" t="s">
        <v>64</v>
      </c>
      <c r="J8" s="8"/>
      <c r="K8" s="8" t="s">
        <v>34</v>
      </c>
      <c r="L8" s="8" t="s">
        <v>35</v>
      </c>
      <c r="M8" s="8" t="s">
        <v>36</v>
      </c>
      <c r="N8" s="8" t="s">
        <v>37</v>
      </c>
      <c r="O8" s="13">
        <v>46059.4</v>
      </c>
      <c r="P8" s="13">
        <v>46059.4</v>
      </c>
      <c r="Q8" s="14">
        <f t="shared" si="0"/>
        <v>0</v>
      </c>
      <c r="R8" s="13">
        <v>46059.459027777775</v>
      </c>
      <c r="S8" s="13">
        <v>46059.463888888888</v>
      </c>
      <c r="T8" s="14">
        <f t="shared" si="1"/>
        <v>7.0000000018626451</v>
      </c>
      <c r="U8" s="14">
        <f t="shared" si="2"/>
        <v>91.999999996041879</v>
      </c>
      <c r="V8" s="12" t="s">
        <v>65</v>
      </c>
      <c r="W8" s="8" t="s">
        <v>39</v>
      </c>
      <c r="X8" s="15" t="s">
        <v>66</v>
      </c>
      <c r="Y8" s="15" t="s">
        <v>67</v>
      </c>
      <c r="Z8" s="15" t="s">
        <v>67</v>
      </c>
      <c r="AA8" s="8" t="s">
        <v>43</v>
      </c>
      <c r="AB8" s="8"/>
    </row>
    <row r="9" spans="1:28" ht="14.25" x14ac:dyDescent="0.2">
      <c r="A9" s="8">
        <v>8</v>
      </c>
      <c r="B9" s="8" t="s">
        <v>28</v>
      </c>
      <c r="C9" s="8" t="s">
        <v>28</v>
      </c>
      <c r="D9" s="9">
        <v>46060</v>
      </c>
      <c r="E9" s="10" t="s">
        <v>54</v>
      </c>
      <c r="F9" s="10" t="s">
        <v>30</v>
      </c>
      <c r="G9" s="10" t="s">
        <v>55</v>
      </c>
      <c r="H9" s="11" t="s">
        <v>68</v>
      </c>
      <c r="I9" s="12" t="s">
        <v>69</v>
      </c>
      <c r="J9" s="8"/>
      <c r="K9" s="8" t="s">
        <v>70</v>
      </c>
      <c r="L9" s="8" t="s">
        <v>71</v>
      </c>
      <c r="M9" s="8" t="s">
        <v>36</v>
      </c>
      <c r="N9" s="8" t="s">
        <v>37</v>
      </c>
      <c r="O9" s="13">
        <v>46060.475694444445</v>
      </c>
      <c r="P9" s="13">
        <v>46060.475694444445</v>
      </c>
      <c r="Q9" s="14">
        <f t="shared" si="0"/>
        <v>0</v>
      </c>
      <c r="R9" s="13">
        <v>46060.501388888886</v>
      </c>
      <c r="S9" s="13">
        <v>46060.550694444442</v>
      </c>
      <c r="T9" s="14">
        <f t="shared" si="1"/>
        <v>71.000000000931323</v>
      </c>
      <c r="U9" s="14">
        <f t="shared" si="2"/>
        <v>107.99999999580905</v>
      </c>
      <c r="V9" s="12" t="s">
        <v>72</v>
      </c>
      <c r="W9" s="8" t="s">
        <v>39</v>
      </c>
      <c r="X9" s="15" t="s">
        <v>40</v>
      </c>
      <c r="Y9" s="15" t="s">
        <v>41</v>
      </c>
      <c r="Z9" s="15" t="s">
        <v>42</v>
      </c>
      <c r="AA9" s="8" t="s">
        <v>43</v>
      </c>
      <c r="AB9" s="8"/>
    </row>
    <row r="10" spans="1:28" ht="14.25" x14ac:dyDescent="0.2">
      <c r="A10" s="8">
        <v>9</v>
      </c>
      <c r="B10" s="8" t="s">
        <v>28</v>
      </c>
      <c r="C10" s="8" t="s">
        <v>28</v>
      </c>
      <c r="D10" s="9">
        <v>46060</v>
      </c>
      <c r="E10" s="10" t="s">
        <v>54</v>
      </c>
      <c r="F10" s="10" t="s">
        <v>30</v>
      </c>
      <c r="G10" s="10" t="s">
        <v>55</v>
      </c>
      <c r="H10" s="11" t="s">
        <v>68</v>
      </c>
      <c r="I10" s="12" t="s">
        <v>73</v>
      </c>
      <c r="J10" s="8"/>
      <c r="K10" s="8" t="s">
        <v>70</v>
      </c>
      <c r="L10" s="8" t="s">
        <v>71</v>
      </c>
      <c r="M10" s="8" t="s">
        <v>36</v>
      </c>
      <c r="N10" s="8" t="s">
        <v>37</v>
      </c>
      <c r="O10" s="13">
        <v>46060.475694444445</v>
      </c>
      <c r="P10" s="13">
        <v>46060.475694444445</v>
      </c>
      <c r="Q10" s="14">
        <f t="shared" si="0"/>
        <v>0</v>
      </c>
      <c r="R10" s="13">
        <v>46060.501388888886</v>
      </c>
      <c r="S10" s="13">
        <v>46060.550694444442</v>
      </c>
      <c r="T10" s="14">
        <f t="shared" si="1"/>
        <v>71.000000000931323</v>
      </c>
      <c r="U10" s="14">
        <f t="shared" si="2"/>
        <v>107.99999999580905</v>
      </c>
      <c r="V10" s="12" t="s">
        <v>72</v>
      </c>
      <c r="W10" s="8" t="s">
        <v>39</v>
      </c>
      <c r="X10" s="15" t="s">
        <v>40</v>
      </c>
      <c r="Y10" s="15" t="s">
        <v>41</v>
      </c>
      <c r="Z10" s="15" t="s">
        <v>42</v>
      </c>
      <c r="AA10" s="8" t="s">
        <v>43</v>
      </c>
      <c r="AB10" s="8"/>
    </row>
    <row r="11" spans="1:28" ht="14.25" x14ac:dyDescent="0.2">
      <c r="A11" s="8">
        <v>10</v>
      </c>
      <c r="B11" s="8" t="s">
        <v>28</v>
      </c>
      <c r="C11" s="8" t="s">
        <v>28</v>
      </c>
      <c r="D11" s="9">
        <v>46061</v>
      </c>
      <c r="E11" s="10" t="s">
        <v>74</v>
      </c>
      <c r="F11" s="10" t="s">
        <v>30</v>
      </c>
      <c r="G11" s="10" t="s">
        <v>55</v>
      </c>
      <c r="H11" s="11" t="s">
        <v>75</v>
      </c>
      <c r="I11" s="12" t="s">
        <v>76</v>
      </c>
      <c r="J11" s="8"/>
      <c r="K11" s="8" t="s">
        <v>77</v>
      </c>
      <c r="L11" s="8" t="s">
        <v>78</v>
      </c>
      <c r="M11" s="8" t="s">
        <v>36</v>
      </c>
      <c r="N11" s="8" t="s">
        <v>37</v>
      </c>
      <c r="O11" s="13">
        <v>46061.520138888889</v>
      </c>
      <c r="P11" s="13">
        <v>46061.520138888889</v>
      </c>
      <c r="Q11" s="14">
        <f t="shared" si="0"/>
        <v>0</v>
      </c>
      <c r="R11" s="13">
        <v>46061.56527777778</v>
      </c>
      <c r="S11" s="13">
        <v>46061.583333333336</v>
      </c>
      <c r="T11" s="14">
        <f t="shared" si="1"/>
        <v>26.000000000931323</v>
      </c>
      <c r="U11" s="14">
        <f t="shared" si="2"/>
        <v>91.000000003259629</v>
      </c>
      <c r="V11" s="12" t="s">
        <v>79</v>
      </c>
      <c r="W11" s="8" t="s">
        <v>39</v>
      </c>
      <c r="X11" s="15" t="s">
        <v>66</v>
      </c>
      <c r="Y11" s="15" t="s">
        <v>67</v>
      </c>
      <c r="Z11" s="15" t="s">
        <v>67</v>
      </c>
      <c r="AA11" s="8" t="s">
        <v>43</v>
      </c>
      <c r="AB11" s="8"/>
    </row>
    <row r="12" spans="1:28" ht="14.25" x14ac:dyDescent="0.2">
      <c r="A12" s="8">
        <v>11</v>
      </c>
      <c r="B12" s="8" t="s">
        <v>28</v>
      </c>
      <c r="C12" s="8" t="s">
        <v>28</v>
      </c>
      <c r="D12" s="9">
        <v>46062</v>
      </c>
      <c r="E12" s="10" t="s">
        <v>74</v>
      </c>
      <c r="F12" s="10" t="s">
        <v>30</v>
      </c>
      <c r="G12" s="10" t="s">
        <v>55</v>
      </c>
      <c r="H12" s="11" t="s">
        <v>44</v>
      </c>
      <c r="I12" s="12" t="s">
        <v>80</v>
      </c>
      <c r="J12" s="8"/>
      <c r="K12" s="8" t="s">
        <v>81</v>
      </c>
      <c r="L12" s="8" t="s">
        <v>82</v>
      </c>
      <c r="M12" s="8" t="s">
        <v>36</v>
      </c>
      <c r="N12" s="8" t="s">
        <v>37</v>
      </c>
      <c r="O12" s="13">
        <v>46062.629166666666</v>
      </c>
      <c r="P12" s="13">
        <v>46062.629166666666</v>
      </c>
      <c r="Q12" s="14">
        <f t="shared" si="0"/>
        <v>0</v>
      </c>
      <c r="R12" s="13">
        <v>46062.629166666666</v>
      </c>
      <c r="S12" s="13">
        <v>46062.630555555559</v>
      </c>
      <c r="T12" s="14">
        <f t="shared" si="1"/>
        <v>2.000000006519258</v>
      </c>
      <c r="U12" s="14">
        <f t="shared" si="2"/>
        <v>2.000000006519258</v>
      </c>
      <c r="V12" s="12" t="s">
        <v>52</v>
      </c>
      <c r="W12" s="8" t="s">
        <v>39</v>
      </c>
      <c r="X12" s="15" t="s">
        <v>40</v>
      </c>
      <c r="Y12" s="15" t="s">
        <v>41</v>
      </c>
      <c r="Z12" s="15" t="s">
        <v>53</v>
      </c>
      <c r="AA12" s="8" t="s">
        <v>43</v>
      </c>
      <c r="AB12" s="8"/>
    </row>
    <row r="13" spans="1:28" ht="14.25" x14ac:dyDescent="0.2">
      <c r="A13" s="8">
        <v>12</v>
      </c>
      <c r="B13" s="8" t="s">
        <v>28</v>
      </c>
      <c r="C13" s="8" t="s">
        <v>28</v>
      </c>
      <c r="D13" s="9">
        <v>46062</v>
      </c>
      <c r="E13" s="10" t="s">
        <v>74</v>
      </c>
      <c r="F13" s="10" t="s">
        <v>30</v>
      </c>
      <c r="G13" s="10" t="s">
        <v>55</v>
      </c>
      <c r="H13" s="11" t="s">
        <v>44</v>
      </c>
      <c r="I13" s="12" t="s">
        <v>83</v>
      </c>
      <c r="J13" s="8"/>
      <c r="K13" s="8" t="s">
        <v>84</v>
      </c>
      <c r="L13" s="8" t="s">
        <v>85</v>
      </c>
      <c r="M13" s="8" t="s">
        <v>36</v>
      </c>
      <c r="N13" s="8" t="s">
        <v>37</v>
      </c>
      <c r="O13" s="13">
        <v>46062.654861111114</v>
      </c>
      <c r="P13" s="13">
        <v>46062.654861111114</v>
      </c>
      <c r="Q13" s="14">
        <f t="shared" si="0"/>
        <v>0</v>
      </c>
      <c r="R13" s="13">
        <v>46062.654861111114</v>
      </c>
      <c r="S13" s="13">
        <v>46062.65625</v>
      </c>
      <c r="T13" s="14">
        <f t="shared" si="1"/>
        <v>1.9999999960418791</v>
      </c>
      <c r="U13" s="14">
        <f t="shared" si="2"/>
        <v>1.9999999960418791</v>
      </c>
      <c r="V13" s="12" t="s">
        <v>52</v>
      </c>
      <c r="W13" s="8" t="s">
        <v>39</v>
      </c>
      <c r="X13" s="15" t="s">
        <v>40</v>
      </c>
      <c r="Y13" s="15" t="s">
        <v>41</v>
      </c>
      <c r="Z13" s="15" t="s">
        <v>53</v>
      </c>
      <c r="AA13" s="8" t="s">
        <v>43</v>
      </c>
      <c r="AB13" s="8"/>
    </row>
    <row r="14" spans="1:28" ht="14.25" x14ac:dyDescent="0.2">
      <c r="A14" s="8">
        <v>13</v>
      </c>
      <c r="B14" s="8" t="s">
        <v>28</v>
      </c>
      <c r="C14" s="8" t="s">
        <v>28</v>
      </c>
      <c r="D14" s="9">
        <v>46063</v>
      </c>
      <c r="E14" s="10" t="s">
        <v>74</v>
      </c>
      <c r="F14" s="10" t="s">
        <v>30</v>
      </c>
      <c r="G14" s="10" t="s">
        <v>60</v>
      </c>
      <c r="H14" s="11" t="s">
        <v>75</v>
      </c>
      <c r="I14" s="12" t="s">
        <v>86</v>
      </c>
      <c r="J14" s="8"/>
      <c r="K14" s="8" t="s">
        <v>84</v>
      </c>
      <c r="L14" s="8" t="s">
        <v>87</v>
      </c>
      <c r="M14" s="8" t="s">
        <v>36</v>
      </c>
      <c r="N14" s="8" t="s">
        <v>37</v>
      </c>
      <c r="O14" s="13">
        <v>46063.568749999999</v>
      </c>
      <c r="P14" s="13">
        <v>46063.568749999999</v>
      </c>
      <c r="Q14" s="14">
        <f t="shared" si="0"/>
        <v>0</v>
      </c>
      <c r="R14" s="13">
        <v>46063.593055555553</v>
      </c>
      <c r="S14" s="13">
        <v>46063.661111111112</v>
      </c>
      <c r="T14" s="14">
        <f t="shared" si="1"/>
        <v>98.000000005122274</v>
      </c>
      <c r="U14" s="14">
        <f t="shared" si="2"/>
        <v>133.00000000395812</v>
      </c>
      <c r="V14" s="12" t="s">
        <v>88</v>
      </c>
      <c r="W14" s="8" t="s">
        <v>39</v>
      </c>
      <c r="X14" s="15" t="s">
        <v>66</v>
      </c>
      <c r="Y14" s="15" t="s">
        <v>67</v>
      </c>
      <c r="Z14" s="15" t="s">
        <v>67</v>
      </c>
      <c r="AA14" s="8" t="s">
        <v>43</v>
      </c>
      <c r="AB14" s="8"/>
    </row>
    <row r="15" spans="1:28" ht="14.25" x14ac:dyDescent="0.2">
      <c r="A15" s="8">
        <v>14</v>
      </c>
      <c r="B15" s="8" t="s">
        <v>28</v>
      </c>
      <c r="C15" s="8" t="s">
        <v>28</v>
      </c>
      <c r="D15" s="9">
        <v>46063</v>
      </c>
      <c r="E15" s="10" t="s">
        <v>74</v>
      </c>
      <c r="F15" s="10" t="s">
        <v>30</v>
      </c>
      <c r="G15" s="10" t="s">
        <v>60</v>
      </c>
      <c r="H15" s="11" t="s">
        <v>44</v>
      </c>
      <c r="I15" s="12" t="s">
        <v>45</v>
      </c>
      <c r="J15" s="8"/>
      <c r="K15" s="8" t="s">
        <v>46</v>
      </c>
      <c r="L15" s="8" t="s">
        <v>47</v>
      </c>
      <c r="M15" s="8" t="s">
        <v>36</v>
      </c>
      <c r="N15" s="8" t="s">
        <v>37</v>
      </c>
      <c r="O15" s="13">
        <v>46063.679861111108</v>
      </c>
      <c r="P15" s="13">
        <v>46063.679861111108</v>
      </c>
      <c r="Q15" s="14">
        <f t="shared" si="0"/>
        <v>0</v>
      </c>
      <c r="R15" s="13">
        <v>46063.679861111108</v>
      </c>
      <c r="S15" s="13">
        <v>46063.68472222222</v>
      </c>
      <c r="T15" s="14">
        <f t="shared" si="1"/>
        <v>7.0000000018626451</v>
      </c>
      <c r="U15" s="14">
        <f t="shared" si="2"/>
        <v>7.0000000018626451</v>
      </c>
      <c r="V15" s="12" t="s">
        <v>89</v>
      </c>
      <c r="W15" s="8" t="s">
        <v>39</v>
      </c>
      <c r="X15" s="15" t="s">
        <v>40</v>
      </c>
      <c r="Y15" s="15" t="s">
        <v>41</v>
      </c>
      <c r="Z15" s="15" t="s">
        <v>49</v>
      </c>
      <c r="AA15" s="8" t="s">
        <v>43</v>
      </c>
      <c r="AB15" s="8"/>
    </row>
    <row r="16" spans="1:28" ht="14.25" x14ac:dyDescent="0.2">
      <c r="A16" s="8">
        <v>15</v>
      </c>
      <c r="B16" s="8" t="s">
        <v>28</v>
      </c>
      <c r="C16" s="8" t="s">
        <v>28</v>
      </c>
      <c r="D16" s="9">
        <v>46064</v>
      </c>
      <c r="E16" s="10" t="s">
        <v>74</v>
      </c>
      <c r="F16" s="10" t="s">
        <v>30</v>
      </c>
      <c r="G16" s="10" t="s">
        <v>60</v>
      </c>
      <c r="H16" s="11" t="s">
        <v>44</v>
      </c>
      <c r="I16" s="12" t="s">
        <v>45</v>
      </c>
      <c r="J16" s="8"/>
      <c r="K16" s="8" t="s">
        <v>46</v>
      </c>
      <c r="L16" s="8" t="s">
        <v>47</v>
      </c>
      <c r="M16" s="8" t="s">
        <v>36</v>
      </c>
      <c r="N16" s="8" t="s">
        <v>37</v>
      </c>
      <c r="O16" s="13">
        <v>46064.540972222225</v>
      </c>
      <c r="P16" s="13">
        <v>46064.540972222225</v>
      </c>
      <c r="Q16" s="14">
        <f t="shared" si="0"/>
        <v>0</v>
      </c>
      <c r="R16" s="13">
        <v>46064.540972222225</v>
      </c>
      <c r="S16" s="13">
        <v>46064.54791666667</v>
      </c>
      <c r="T16" s="14">
        <f t="shared" si="1"/>
        <v>10.000000001164153</v>
      </c>
      <c r="U16" s="14">
        <f t="shared" si="2"/>
        <v>10.000000001164153</v>
      </c>
      <c r="V16" s="12" t="s">
        <v>90</v>
      </c>
      <c r="W16" s="8" t="s">
        <v>39</v>
      </c>
      <c r="X16" s="15" t="s">
        <v>40</v>
      </c>
      <c r="Y16" s="15" t="s">
        <v>41</v>
      </c>
      <c r="Z16" s="15" t="s">
        <v>49</v>
      </c>
      <c r="AA16" s="8" t="s">
        <v>43</v>
      </c>
      <c r="AB16" s="8"/>
    </row>
    <row r="17" spans="1:28" ht="14.25" x14ac:dyDescent="0.2">
      <c r="A17" s="8">
        <v>16</v>
      </c>
      <c r="B17" s="8" t="s">
        <v>28</v>
      </c>
      <c r="C17" s="8" t="s">
        <v>28</v>
      </c>
      <c r="D17" s="9">
        <v>46064</v>
      </c>
      <c r="E17" s="10" t="s">
        <v>74</v>
      </c>
      <c r="F17" s="10" t="s">
        <v>30</v>
      </c>
      <c r="G17" s="10" t="s">
        <v>60</v>
      </c>
      <c r="H17" s="11" t="s">
        <v>44</v>
      </c>
      <c r="I17" s="12" t="s">
        <v>45</v>
      </c>
      <c r="J17" s="8"/>
      <c r="K17" s="8" t="s">
        <v>46</v>
      </c>
      <c r="L17" s="8" t="s">
        <v>47</v>
      </c>
      <c r="M17" s="8" t="s">
        <v>36</v>
      </c>
      <c r="N17" s="8" t="s">
        <v>37</v>
      </c>
      <c r="O17" s="13">
        <v>46064.548611111109</v>
      </c>
      <c r="P17" s="13">
        <v>46064.548611111109</v>
      </c>
      <c r="Q17" s="14">
        <f t="shared" si="0"/>
        <v>0</v>
      </c>
      <c r="R17" s="13">
        <v>46064.548611111109</v>
      </c>
      <c r="S17" s="13">
        <v>46064.554166666669</v>
      </c>
      <c r="T17" s="14">
        <f t="shared" si="1"/>
        <v>8.0000000051222742</v>
      </c>
      <c r="U17" s="14">
        <f t="shared" si="2"/>
        <v>8.0000000051222742</v>
      </c>
      <c r="V17" s="12" t="s">
        <v>91</v>
      </c>
      <c r="W17" s="8" t="s">
        <v>39</v>
      </c>
      <c r="X17" s="15" t="s">
        <v>40</v>
      </c>
      <c r="Y17" s="15" t="s">
        <v>41</v>
      </c>
      <c r="Z17" s="15" t="s">
        <v>49</v>
      </c>
      <c r="AA17" s="8" t="s">
        <v>43</v>
      </c>
      <c r="AB17" s="8"/>
    </row>
    <row r="18" spans="1:28" ht="14.25" x14ac:dyDescent="0.2">
      <c r="A18" s="8">
        <v>17</v>
      </c>
      <c r="B18" s="8" t="s">
        <v>28</v>
      </c>
      <c r="C18" s="8" t="s">
        <v>28</v>
      </c>
      <c r="D18" s="9">
        <v>46064</v>
      </c>
      <c r="E18" s="10" t="s">
        <v>74</v>
      </c>
      <c r="F18" s="10" t="s">
        <v>30</v>
      </c>
      <c r="G18" s="10" t="s">
        <v>60</v>
      </c>
      <c r="H18" s="11" t="s">
        <v>44</v>
      </c>
      <c r="I18" s="12" t="s">
        <v>45</v>
      </c>
      <c r="J18" s="8"/>
      <c r="K18" s="8" t="s">
        <v>46</v>
      </c>
      <c r="L18" s="8" t="s">
        <v>47</v>
      </c>
      <c r="M18" s="8" t="s">
        <v>36</v>
      </c>
      <c r="N18" s="8" t="s">
        <v>37</v>
      </c>
      <c r="O18" s="13">
        <v>46064.67291666667</v>
      </c>
      <c r="P18" s="13">
        <v>46064.67291666667</v>
      </c>
      <c r="Q18" s="14">
        <f t="shared" si="0"/>
        <v>0</v>
      </c>
      <c r="R18" s="13">
        <v>46064.67291666667</v>
      </c>
      <c r="S18" s="13">
        <v>46064.677083333336</v>
      </c>
      <c r="T18" s="14">
        <f t="shared" si="1"/>
        <v>5.9999999986030161</v>
      </c>
      <c r="U18" s="14">
        <f t="shared" si="2"/>
        <v>5.9999999986030161</v>
      </c>
      <c r="V18" s="12" t="s">
        <v>92</v>
      </c>
      <c r="W18" s="8" t="s">
        <v>39</v>
      </c>
      <c r="X18" s="15" t="s">
        <v>40</v>
      </c>
      <c r="Y18" s="15" t="s">
        <v>41</v>
      </c>
      <c r="Z18" s="15" t="s">
        <v>49</v>
      </c>
      <c r="AA18" s="8" t="s">
        <v>43</v>
      </c>
      <c r="AB18" s="8"/>
    </row>
    <row r="19" spans="1:28" ht="14.25" x14ac:dyDescent="0.2">
      <c r="A19" s="8">
        <v>18</v>
      </c>
      <c r="B19" s="8" t="s">
        <v>28</v>
      </c>
      <c r="C19" s="8" t="s">
        <v>28</v>
      </c>
      <c r="D19" s="9">
        <v>46064</v>
      </c>
      <c r="E19" s="8" t="s">
        <v>93</v>
      </c>
      <c r="F19" s="8" t="s">
        <v>30</v>
      </c>
      <c r="G19" s="8" t="s">
        <v>60</v>
      </c>
      <c r="H19" s="11" t="s">
        <v>94</v>
      </c>
      <c r="I19" s="12" t="s">
        <v>45</v>
      </c>
      <c r="J19" s="8"/>
      <c r="K19" s="8" t="s">
        <v>46</v>
      </c>
      <c r="L19" s="8" t="s">
        <v>47</v>
      </c>
      <c r="M19" s="8" t="s">
        <v>36</v>
      </c>
      <c r="N19" s="8" t="s">
        <v>37</v>
      </c>
      <c r="O19" s="13">
        <v>46064.771527777775</v>
      </c>
      <c r="P19" s="13">
        <v>46064.773611111108</v>
      </c>
      <c r="Q19" s="14">
        <f t="shared" si="0"/>
        <v>2.9999999993015081</v>
      </c>
      <c r="R19" s="13">
        <v>46064.806250000001</v>
      </c>
      <c r="S19" s="13">
        <v>46064.843055555553</v>
      </c>
      <c r="T19" s="14">
        <f t="shared" si="1"/>
        <v>52.999999994644895</v>
      </c>
      <c r="U19" s="14">
        <f t="shared" si="2"/>
        <v>103.00000000046566</v>
      </c>
      <c r="V19" s="12" t="s">
        <v>95</v>
      </c>
      <c r="W19" s="8" t="s">
        <v>39</v>
      </c>
      <c r="X19" s="15" t="s">
        <v>66</v>
      </c>
      <c r="Y19" s="15" t="s">
        <v>67</v>
      </c>
      <c r="Z19" s="15" t="s">
        <v>67</v>
      </c>
      <c r="AA19" s="8" t="s">
        <v>43</v>
      </c>
      <c r="AB19" s="8"/>
    </row>
    <row r="20" spans="1:28" ht="14.25" x14ac:dyDescent="0.2">
      <c r="A20" s="8">
        <v>19</v>
      </c>
      <c r="B20" s="8" t="s">
        <v>28</v>
      </c>
      <c r="C20" s="8" t="s">
        <v>28</v>
      </c>
      <c r="D20" s="9">
        <v>46065</v>
      </c>
      <c r="E20" s="8" t="s">
        <v>93</v>
      </c>
      <c r="F20" s="8" t="s">
        <v>30</v>
      </c>
      <c r="G20" s="10" t="s">
        <v>55</v>
      </c>
      <c r="H20" s="11" t="s">
        <v>28</v>
      </c>
      <c r="I20" s="12" t="s">
        <v>96</v>
      </c>
      <c r="J20" s="8"/>
      <c r="K20" s="8" t="s">
        <v>97</v>
      </c>
      <c r="L20" s="8" t="s">
        <v>98</v>
      </c>
      <c r="M20" s="8" t="s">
        <v>36</v>
      </c>
      <c r="N20" s="8" t="s">
        <v>37</v>
      </c>
      <c r="O20" s="13">
        <v>46065.719444444447</v>
      </c>
      <c r="P20" s="13">
        <v>46065.720833333333</v>
      </c>
      <c r="Q20" s="14">
        <f t="shared" si="0"/>
        <v>1.9999999960418791</v>
      </c>
      <c r="R20" s="13">
        <v>46065.720833333333</v>
      </c>
      <c r="S20" s="13">
        <v>46065.73541666667</v>
      </c>
      <c r="T20" s="14">
        <f t="shared" si="1"/>
        <v>21.000000005587935</v>
      </c>
      <c r="U20" s="14">
        <f t="shared" si="2"/>
        <v>23.000000001629815</v>
      </c>
      <c r="V20" s="12" t="s">
        <v>99</v>
      </c>
      <c r="W20" s="8" t="s">
        <v>39</v>
      </c>
      <c r="X20" s="15" t="s">
        <v>66</v>
      </c>
      <c r="Y20" s="15" t="s">
        <v>67</v>
      </c>
      <c r="Z20" s="15" t="s">
        <v>67</v>
      </c>
      <c r="AA20" s="8" t="s">
        <v>43</v>
      </c>
      <c r="AB20" s="8"/>
    </row>
    <row r="21" spans="1:28" ht="28.5" x14ac:dyDescent="0.2">
      <c r="A21" s="8">
        <v>20</v>
      </c>
      <c r="B21" s="8" t="s">
        <v>28</v>
      </c>
      <c r="C21" s="8" t="s">
        <v>28</v>
      </c>
      <c r="D21" s="9">
        <v>46067</v>
      </c>
      <c r="E21" s="8" t="s">
        <v>93</v>
      </c>
      <c r="F21" s="8" t="s">
        <v>30</v>
      </c>
      <c r="G21" s="10" t="s">
        <v>55</v>
      </c>
      <c r="H21" s="11" t="s">
        <v>28</v>
      </c>
      <c r="I21" s="12" t="s">
        <v>100</v>
      </c>
      <c r="J21" s="8"/>
      <c r="K21" s="8" t="s">
        <v>97</v>
      </c>
      <c r="L21" s="8" t="s">
        <v>101</v>
      </c>
      <c r="M21" s="8" t="s">
        <v>36</v>
      </c>
      <c r="N21" s="8" t="s">
        <v>37</v>
      </c>
      <c r="O21" s="13">
        <v>46067.681944444441</v>
      </c>
      <c r="P21" s="13">
        <v>46067.684027777781</v>
      </c>
      <c r="Q21" s="14">
        <f t="shared" si="0"/>
        <v>3.000000009778887</v>
      </c>
      <c r="R21" s="13">
        <v>46067.684027777781</v>
      </c>
      <c r="S21" s="13">
        <v>46067.70416666667</v>
      </c>
      <c r="T21" s="14">
        <f t="shared" si="1"/>
        <v>29.000000000232831</v>
      </c>
      <c r="U21" s="14">
        <f t="shared" si="2"/>
        <v>32.000000010011718</v>
      </c>
      <c r="V21" s="12" t="s">
        <v>99</v>
      </c>
      <c r="W21" s="8" t="s">
        <v>39</v>
      </c>
      <c r="X21" s="15" t="s">
        <v>66</v>
      </c>
      <c r="Y21" s="15" t="s">
        <v>67</v>
      </c>
      <c r="Z21" s="15" t="s">
        <v>67</v>
      </c>
      <c r="AA21" s="8" t="s">
        <v>43</v>
      </c>
      <c r="AB21" s="8"/>
    </row>
    <row r="22" spans="1:28" ht="42.75" x14ac:dyDescent="0.2">
      <c r="A22" s="8">
        <v>21</v>
      </c>
      <c r="B22" s="8" t="s">
        <v>102</v>
      </c>
      <c r="C22" s="8" t="s">
        <v>28</v>
      </c>
      <c r="D22" s="9">
        <v>46068</v>
      </c>
      <c r="E22" s="8" t="s">
        <v>93</v>
      </c>
      <c r="F22" s="8" t="s">
        <v>30</v>
      </c>
      <c r="G22" s="10" t="s">
        <v>55</v>
      </c>
      <c r="H22" s="11" t="s">
        <v>103</v>
      </c>
      <c r="I22" s="12" t="s">
        <v>104</v>
      </c>
      <c r="J22" s="8"/>
      <c r="K22" s="8" t="s">
        <v>105</v>
      </c>
      <c r="L22" s="8" t="s">
        <v>106</v>
      </c>
      <c r="M22" s="8" t="s">
        <v>107</v>
      </c>
      <c r="N22" s="8" t="s">
        <v>37</v>
      </c>
      <c r="O22" s="13">
        <v>46068.300694444442</v>
      </c>
      <c r="P22" s="13">
        <v>46068.302083333336</v>
      </c>
      <c r="Q22" s="14">
        <f t="shared" si="0"/>
        <v>2.000000006519258</v>
      </c>
      <c r="R22" s="13">
        <v>46068.305555555555</v>
      </c>
      <c r="S22" s="13">
        <v>46068.366666666669</v>
      </c>
      <c r="T22" s="14">
        <f t="shared" si="1"/>
        <v>88.000000003958121</v>
      </c>
      <c r="U22" s="14">
        <f t="shared" si="2"/>
        <v>95.000000005820766</v>
      </c>
      <c r="V22" s="12" t="s">
        <v>108</v>
      </c>
      <c r="W22" s="8" t="s">
        <v>39</v>
      </c>
      <c r="X22" s="8" t="s">
        <v>40</v>
      </c>
      <c r="Y22" s="8" t="s">
        <v>41</v>
      </c>
      <c r="Z22" s="8" t="s">
        <v>42</v>
      </c>
      <c r="AA22" s="8" t="s">
        <v>43</v>
      </c>
      <c r="AB22" s="8"/>
    </row>
    <row r="23" spans="1:28" ht="14.25" x14ac:dyDescent="0.2">
      <c r="A23" s="8">
        <v>22</v>
      </c>
      <c r="B23" s="8" t="s">
        <v>109</v>
      </c>
      <c r="C23" s="8" t="s">
        <v>28</v>
      </c>
      <c r="D23" s="9">
        <v>46068</v>
      </c>
      <c r="E23" s="8" t="s">
        <v>93</v>
      </c>
      <c r="F23" s="8" t="s">
        <v>30</v>
      </c>
      <c r="G23" s="10" t="s">
        <v>55</v>
      </c>
      <c r="H23" s="11" t="s">
        <v>103</v>
      </c>
      <c r="I23" s="12" t="s">
        <v>45</v>
      </c>
      <c r="J23" s="8"/>
      <c r="K23" s="8" t="s">
        <v>46</v>
      </c>
      <c r="L23" s="8" t="s">
        <v>47</v>
      </c>
      <c r="M23" s="8" t="s">
        <v>36</v>
      </c>
      <c r="N23" s="8" t="s">
        <v>37</v>
      </c>
      <c r="O23" s="13">
        <v>46068.322222222225</v>
      </c>
      <c r="P23" s="13">
        <v>46068.323611111111</v>
      </c>
      <c r="Q23" s="14">
        <f t="shared" si="0"/>
        <v>1.9999999960418791</v>
      </c>
      <c r="R23" s="13">
        <v>46068.354861111111</v>
      </c>
      <c r="S23" s="13">
        <v>46068.504166666666</v>
      </c>
      <c r="T23" s="14">
        <f t="shared" si="1"/>
        <v>214.99999999883585</v>
      </c>
      <c r="U23" s="14">
        <f t="shared" si="2"/>
        <v>261.99999999487773</v>
      </c>
      <c r="V23" s="12" t="s">
        <v>110</v>
      </c>
      <c r="W23" s="8" t="s">
        <v>39</v>
      </c>
      <c r="X23" s="8" t="s">
        <v>40</v>
      </c>
      <c r="Y23" s="8" t="s">
        <v>41</v>
      </c>
      <c r="Z23" s="8" t="s">
        <v>42</v>
      </c>
      <c r="AA23" s="8" t="s">
        <v>43</v>
      </c>
      <c r="AB23" s="8"/>
    </row>
    <row r="24" spans="1:28" ht="14.25" x14ac:dyDescent="0.2">
      <c r="A24" s="8">
        <v>23</v>
      </c>
      <c r="B24" s="8" t="s">
        <v>111</v>
      </c>
      <c r="C24" s="8" t="s">
        <v>28</v>
      </c>
      <c r="D24" s="9">
        <v>46068</v>
      </c>
      <c r="E24" s="8" t="s">
        <v>112</v>
      </c>
      <c r="F24" s="8" t="s">
        <v>30</v>
      </c>
      <c r="G24" s="8" t="s">
        <v>60</v>
      </c>
      <c r="H24" s="11" t="s">
        <v>113</v>
      </c>
      <c r="I24" s="12" t="s">
        <v>114</v>
      </c>
      <c r="J24" s="8"/>
      <c r="K24" s="8" t="s">
        <v>115</v>
      </c>
      <c r="L24" s="8" t="s">
        <v>116</v>
      </c>
      <c r="M24" s="8" t="s">
        <v>107</v>
      </c>
      <c r="N24" s="8" t="s">
        <v>37</v>
      </c>
      <c r="O24" s="13">
        <v>46068.484722222223</v>
      </c>
      <c r="P24" s="13">
        <v>46068.490972222222</v>
      </c>
      <c r="Q24" s="14">
        <f t="shared" si="0"/>
        <v>8.9999999979045242</v>
      </c>
      <c r="R24" s="13">
        <v>46068.490972222222</v>
      </c>
      <c r="S24" s="13">
        <v>46068.547222222223</v>
      </c>
      <c r="T24" s="14">
        <f t="shared" si="1"/>
        <v>81.000000002095476</v>
      </c>
      <c r="U24" s="14">
        <f t="shared" si="2"/>
        <v>90</v>
      </c>
      <c r="V24" s="12" t="s">
        <v>117</v>
      </c>
      <c r="W24" s="8" t="s">
        <v>39</v>
      </c>
      <c r="X24" s="8" t="s">
        <v>66</v>
      </c>
      <c r="Y24" s="8" t="s">
        <v>67</v>
      </c>
      <c r="Z24" s="8" t="s">
        <v>67</v>
      </c>
      <c r="AA24" s="8" t="s">
        <v>43</v>
      </c>
      <c r="AB24" s="8"/>
    </row>
    <row r="25" spans="1:28" ht="28.5" x14ac:dyDescent="0.2">
      <c r="A25" s="8">
        <v>24</v>
      </c>
      <c r="B25" s="8" t="s">
        <v>118</v>
      </c>
      <c r="C25" s="8" t="s">
        <v>28</v>
      </c>
      <c r="D25" s="9">
        <v>46069</v>
      </c>
      <c r="E25" s="8" t="s">
        <v>119</v>
      </c>
      <c r="F25" s="8" t="s">
        <v>30</v>
      </c>
      <c r="G25" s="10" t="s">
        <v>55</v>
      </c>
      <c r="H25" s="11" t="s">
        <v>28</v>
      </c>
      <c r="I25" s="12" t="s">
        <v>120</v>
      </c>
      <c r="J25" s="8"/>
      <c r="K25" s="8" t="s">
        <v>29</v>
      </c>
      <c r="L25" s="8" t="s">
        <v>121</v>
      </c>
      <c r="M25" s="8" t="s">
        <v>29</v>
      </c>
      <c r="N25" s="8" t="s">
        <v>37</v>
      </c>
      <c r="O25" s="13">
        <v>46069.390972222223</v>
      </c>
      <c r="P25" s="13">
        <v>46069.39166666667</v>
      </c>
      <c r="Q25" s="14">
        <f t="shared" si="0"/>
        <v>1.000000003259629</v>
      </c>
      <c r="R25" s="13">
        <v>46069.39166666667</v>
      </c>
      <c r="S25" s="13">
        <v>46069.402777777781</v>
      </c>
      <c r="T25" s="14">
        <f t="shared" si="1"/>
        <v>15.999999999767169</v>
      </c>
      <c r="U25" s="14">
        <f t="shared" si="2"/>
        <v>17.000000003026798</v>
      </c>
      <c r="V25" s="12" t="s">
        <v>99</v>
      </c>
      <c r="W25" s="8" t="s">
        <v>39</v>
      </c>
      <c r="X25" s="8" t="s">
        <v>66</v>
      </c>
      <c r="Y25" s="8" t="s">
        <v>67</v>
      </c>
      <c r="Z25" s="8" t="s">
        <v>67</v>
      </c>
      <c r="AA25" s="8" t="s">
        <v>43</v>
      </c>
      <c r="AB25" s="8"/>
    </row>
    <row r="26" spans="1:28" ht="14.25" x14ac:dyDescent="0.2">
      <c r="A26" s="8">
        <v>25</v>
      </c>
      <c r="B26" s="8" t="s">
        <v>122</v>
      </c>
      <c r="C26" s="8" t="s">
        <v>28</v>
      </c>
      <c r="D26" s="9">
        <v>46070</v>
      </c>
      <c r="E26" s="8" t="s">
        <v>123</v>
      </c>
      <c r="F26" s="8" t="s">
        <v>124</v>
      </c>
      <c r="G26" s="10" t="s">
        <v>125</v>
      </c>
      <c r="H26" s="11" t="s">
        <v>126</v>
      </c>
      <c r="I26" s="12" t="s">
        <v>127</v>
      </c>
      <c r="J26" s="8"/>
      <c r="K26" s="8" t="s">
        <v>84</v>
      </c>
      <c r="L26" s="8" t="s">
        <v>128</v>
      </c>
      <c r="M26" s="8" t="s">
        <v>36</v>
      </c>
      <c r="N26" s="8" t="s">
        <v>37</v>
      </c>
      <c r="O26" s="13">
        <v>46070.692361111112</v>
      </c>
      <c r="P26" s="13">
        <v>46070.695138888892</v>
      </c>
      <c r="Q26" s="14">
        <f t="shared" si="0"/>
        <v>4.0000000025611371</v>
      </c>
      <c r="R26" s="13">
        <v>46070.709722222222</v>
      </c>
      <c r="S26" s="13">
        <v>46070.941666666666</v>
      </c>
      <c r="T26" s="14">
        <f t="shared" si="1"/>
        <v>333.99999999906868</v>
      </c>
      <c r="U26" s="14">
        <f t="shared" si="2"/>
        <v>358.99999999674037</v>
      </c>
      <c r="V26" s="12" t="s">
        <v>129</v>
      </c>
      <c r="W26" s="8" t="s">
        <v>39</v>
      </c>
      <c r="X26" s="8" t="s">
        <v>40</v>
      </c>
      <c r="Y26" s="8" t="s">
        <v>130</v>
      </c>
      <c r="Z26" s="8" t="s">
        <v>131</v>
      </c>
      <c r="AA26" s="8" t="s">
        <v>43</v>
      </c>
      <c r="AB26" s="8"/>
    </row>
    <row r="27" spans="1:28" ht="28.5" x14ac:dyDescent="0.2">
      <c r="A27" s="8">
        <v>26</v>
      </c>
      <c r="B27" s="8" t="s">
        <v>132</v>
      </c>
      <c r="C27" s="8" t="s">
        <v>28</v>
      </c>
      <c r="D27" s="9">
        <v>46073</v>
      </c>
      <c r="E27" s="8" t="s">
        <v>133</v>
      </c>
      <c r="F27" s="8" t="s">
        <v>30</v>
      </c>
      <c r="G27" s="8" t="s">
        <v>55</v>
      </c>
      <c r="H27" s="11" t="s">
        <v>134</v>
      </c>
      <c r="I27" s="12" t="s">
        <v>135</v>
      </c>
      <c r="J27" s="8"/>
      <c r="K27" s="8" t="s">
        <v>136</v>
      </c>
      <c r="L27" s="8" t="s">
        <v>137</v>
      </c>
      <c r="M27" s="8" t="s">
        <v>36</v>
      </c>
      <c r="N27" s="8" t="s">
        <v>37</v>
      </c>
      <c r="O27" s="13">
        <v>46073.189583333333</v>
      </c>
      <c r="P27" s="13">
        <v>46073.195833333331</v>
      </c>
      <c r="Q27" s="14">
        <f t="shared" si="0"/>
        <v>8.9999999979045242</v>
      </c>
      <c r="R27" s="13">
        <v>46073.284722222219</v>
      </c>
      <c r="S27" s="13">
        <v>46073.298611111109</v>
      </c>
      <c r="T27" s="14">
        <f t="shared" si="1"/>
        <v>20.000000002328306</v>
      </c>
      <c r="U27" s="14">
        <f t="shared" si="2"/>
        <v>156.99999999837019</v>
      </c>
      <c r="V27" s="12" t="s">
        <v>138</v>
      </c>
      <c r="W27" s="8" t="s">
        <v>39</v>
      </c>
      <c r="X27" s="8" t="s">
        <v>66</v>
      </c>
      <c r="Y27" s="8" t="s">
        <v>67</v>
      </c>
      <c r="Z27" s="8" t="s">
        <v>67</v>
      </c>
      <c r="AA27" s="8" t="s">
        <v>43</v>
      </c>
      <c r="AB27" s="8"/>
    </row>
    <row r="28" spans="1:28" ht="14.25" x14ac:dyDescent="0.2">
      <c r="A28" s="8">
        <v>27</v>
      </c>
      <c r="B28" s="8" t="s">
        <v>139</v>
      </c>
      <c r="C28" s="8" t="s">
        <v>28</v>
      </c>
      <c r="D28" s="9">
        <v>46073</v>
      </c>
      <c r="E28" s="8" t="s">
        <v>140</v>
      </c>
      <c r="F28" s="8" t="s">
        <v>30</v>
      </c>
      <c r="G28" s="8" t="s">
        <v>55</v>
      </c>
      <c r="H28" s="11" t="s">
        <v>141</v>
      </c>
      <c r="I28" s="12" t="s">
        <v>142</v>
      </c>
      <c r="J28" s="8"/>
      <c r="K28" s="8" t="s">
        <v>29</v>
      </c>
      <c r="L28" s="8" t="s">
        <v>29</v>
      </c>
      <c r="M28" s="8" t="s">
        <v>29</v>
      </c>
      <c r="N28" s="8" t="s">
        <v>37</v>
      </c>
      <c r="O28" s="13">
        <v>46073.366666666669</v>
      </c>
      <c r="P28" s="13">
        <v>46073.375</v>
      </c>
      <c r="Q28" s="14">
        <f t="shared" si="0"/>
        <v>11.999999997206032</v>
      </c>
      <c r="R28" s="13">
        <v>46073.375</v>
      </c>
      <c r="S28" s="13">
        <v>46073.37777777778</v>
      </c>
      <c r="T28" s="14">
        <f t="shared" si="1"/>
        <v>4.0000000025611371</v>
      </c>
      <c r="U28" s="14">
        <f t="shared" si="2"/>
        <v>15.999999999767169</v>
      </c>
      <c r="V28" s="12" t="s">
        <v>99</v>
      </c>
      <c r="W28" s="8" t="s">
        <v>39</v>
      </c>
      <c r="X28" s="8" t="s">
        <v>66</v>
      </c>
      <c r="Y28" s="8" t="s">
        <v>67</v>
      </c>
      <c r="Z28" s="8" t="s">
        <v>67</v>
      </c>
      <c r="AA28" s="8" t="s">
        <v>43</v>
      </c>
      <c r="AB28" s="8"/>
    </row>
    <row r="29" spans="1:28" ht="28.5" x14ac:dyDescent="0.2">
      <c r="A29" s="8">
        <v>28</v>
      </c>
      <c r="B29" s="8" t="s">
        <v>143</v>
      </c>
      <c r="C29" s="8" t="s">
        <v>28</v>
      </c>
      <c r="D29" s="9">
        <v>46074</v>
      </c>
      <c r="E29" s="8" t="s">
        <v>144</v>
      </c>
      <c r="F29" s="8" t="s">
        <v>145</v>
      </c>
      <c r="G29" s="8" t="s">
        <v>60</v>
      </c>
      <c r="H29" s="11" t="s">
        <v>146</v>
      </c>
      <c r="I29" s="12" t="s">
        <v>147</v>
      </c>
      <c r="J29" s="8" t="s">
        <v>29</v>
      </c>
      <c r="K29" s="8" t="s">
        <v>29</v>
      </c>
      <c r="L29" s="8" t="s">
        <v>29</v>
      </c>
      <c r="M29" s="8" t="s">
        <v>29</v>
      </c>
      <c r="N29" s="8" t="s">
        <v>37</v>
      </c>
      <c r="O29" s="13">
        <v>46074.51458333333</v>
      </c>
      <c r="P29" s="13">
        <v>46074.51666666667</v>
      </c>
      <c r="Q29" s="14">
        <f t="shared" si="0"/>
        <v>3.000000009778887</v>
      </c>
      <c r="R29" s="13">
        <v>46074.51666666667</v>
      </c>
      <c r="S29" s="13">
        <v>46074.68472222222</v>
      </c>
      <c r="T29" s="14">
        <f t="shared" si="1"/>
        <v>241.99999999254942</v>
      </c>
      <c r="U29" s="14">
        <f t="shared" si="2"/>
        <v>245.00000000232831</v>
      </c>
      <c r="V29" s="12" t="s">
        <v>148</v>
      </c>
      <c r="W29" s="8" t="s">
        <v>39</v>
      </c>
      <c r="X29" s="8" t="s">
        <v>40</v>
      </c>
      <c r="Y29" s="8" t="s">
        <v>41</v>
      </c>
      <c r="Z29" s="8" t="s">
        <v>149</v>
      </c>
      <c r="AA29" s="8" t="s">
        <v>43</v>
      </c>
      <c r="AB29" s="8"/>
    </row>
    <row r="30" spans="1:28" ht="28.5" x14ac:dyDescent="0.2">
      <c r="A30" s="8">
        <v>29</v>
      </c>
      <c r="B30" s="8" t="s">
        <v>150</v>
      </c>
      <c r="C30" s="8" t="s">
        <v>28</v>
      </c>
      <c r="D30" s="9">
        <v>46075</v>
      </c>
      <c r="E30" s="8" t="s">
        <v>151</v>
      </c>
      <c r="F30" s="8" t="s">
        <v>55</v>
      </c>
      <c r="G30" s="8" t="s">
        <v>55</v>
      </c>
      <c r="H30" s="11" t="s">
        <v>28</v>
      </c>
      <c r="I30" s="12" t="s">
        <v>152</v>
      </c>
      <c r="J30" s="8" t="s">
        <v>29</v>
      </c>
      <c r="K30" s="8" t="s">
        <v>29</v>
      </c>
      <c r="L30" s="8" t="s">
        <v>29</v>
      </c>
      <c r="M30" s="8" t="s">
        <v>29</v>
      </c>
      <c r="N30" s="8" t="s">
        <v>37</v>
      </c>
      <c r="O30" s="13">
        <v>46075.439004629632</v>
      </c>
      <c r="P30" s="13">
        <v>46075.440972222219</v>
      </c>
      <c r="Q30" s="14">
        <f t="shared" si="0"/>
        <v>2.8333333251066506</v>
      </c>
      <c r="R30" s="13">
        <v>46075.440972222219</v>
      </c>
      <c r="S30" s="13">
        <v>46075.447222222225</v>
      </c>
      <c r="T30" s="14">
        <f t="shared" si="1"/>
        <v>9.0000000083819032</v>
      </c>
      <c r="U30" s="14">
        <f t="shared" si="2"/>
        <v>11.833333333488554</v>
      </c>
      <c r="V30" s="12" t="s">
        <v>153</v>
      </c>
      <c r="W30" s="8" t="s">
        <v>39</v>
      </c>
      <c r="X30" s="8" t="s">
        <v>66</v>
      </c>
      <c r="Y30" s="8" t="s">
        <v>67</v>
      </c>
      <c r="Z30" s="8" t="s">
        <v>67</v>
      </c>
      <c r="AA30" s="8" t="s">
        <v>43</v>
      </c>
      <c r="AB30" s="8"/>
    </row>
    <row r="31" spans="1:28" ht="28.5" x14ac:dyDescent="0.2">
      <c r="A31" s="8">
        <v>30</v>
      </c>
      <c r="B31" s="8" t="s">
        <v>154</v>
      </c>
      <c r="C31" s="8" t="s">
        <v>28</v>
      </c>
      <c r="D31" s="9">
        <v>46075</v>
      </c>
      <c r="E31" s="8" t="s">
        <v>155</v>
      </c>
      <c r="F31" s="8" t="s">
        <v>60</v>
      </c>
      <c r="G31" s="8" t="s">
        <v>60</v>
      </c>
      <c r="H31" s="11" t="s">
        <v>156</v>
      </c>
      <c r="I31" s="12" t="s">
        <v>157</v>
      </c>
      <c r="J31" s="8" t="s">
        <v>29</v>
      </c>
      <c r="K31" s="8" t="s">
        <v>29</v>
      </c>
      <c r="L31" s="8" t="s">
        <v>29</v>
      </c>
      <c r="M31" s="8" t="s">
        <v>29</v>
      </c>
      <c r="N31" s="8" t="s">
        <v>37</v>
      </c>
      <c r="O31" s="13">
        <v>46075.494155092594</v>
      </c>
      <c r="P31" s="13">
        <v>46075.494849537034</v>
      </c>
      <c r="Q31" s="14">
        <f t="shared" si="0"/>
        <v>0.99999999278225005</v>
      </c>
      <c r="R31" s="13">
        <v>46075.494155092594</v>
      </c>
      <c r="S31" s="13">
        <v>46075.501967592594</v>
      </c>
      <c r="T31" s="14">
        <f t="shared" si="1"/>
        <v>11.25</v>
      </c>
      <c r="U31" s="14">
        <f t="shared" si="2"/>
        <v>11.25</v>
      </c>
      <c r="V31" s="12" t="s">
        <v>158</v>
      </c>
      <c r="W31" s="8" t="s">
        <v>39</v>
      </c>
      <c r="X31" s="8" t="s">
        <v>40</v>
      </c>
      <c r="Y31" s="8" t="s">
        <v>41</v>
      </c>
      <c r="Z31" s="8" t="s">
        <v>159</v>
      </c>
      <c r="AA31" s="8" t="s">
        <v>43</v>
      </c>
      <c r="AB31" s="8"/>
    </row>
    <row r="32" spans="1:28" ht="14.25" x14ac:dyDescent="0.2">
      <c r="A32" s="8">
        <v>31</v>
      </c>
      <c r="B32" s="8" t="s">
        <v>160</v>
      </c>
      <c r="C32" s="8" t="s">
        <v>28</v>
      </c>
      <c r="D32" s="9">
        <v>46075</v>
      </c>
      <c r="E32" s="8" t="s">
        <v>161</v>
      </c>
      <c r="F32" s="8" t="s">
        <v>162</v>
      </c>
      <c r="G32" s="8" t="s">
        <v>163</v>
      </c>
      <c r="H32" s="11" t="s">
        <v>164</v>
      </c>
      <c r="I32" s="12" t="s">
        <v>165</v>
      </c>
      <c r="J32" s="8" t="s">
        <v>29</v>
      </c>
      <c r="K32" s="8" t="s">
        <v>166</v>
      </c>
      <c r="L32" s="8" t="s">
        <v>167</v>
      </c>
      <c r="M32" s="8" t="s">
        <v>107</v>
      </c>
      <c r="N32" s="8" t="s">
        <v>37</v>
      </c>
      <c r="O32" s="13">
        <v>46075.454513888886</v>
      </c>
      <c r="P32" s="13">
        <v>46075.454513888886</v>
      </c>
      <c r="Q32" s="14">
        <f t="shared" si="0"/>
        <v>0</v>
      </c>
      <c r="R32" s="13">
        <v>46075.454513888886</v>
      </c>
      <c r="S32" s="13">
        <v>46075.641319444447</v>
      </c>
      <c r="T32" s="14">
        <f t="shared" si="1"/>
        <v>269.00000000721775</v>
      </c>
      <c r="U32" s="14">
        <f t="shared" si="2"/>
        <v>269.00000000721775</v>
      </c>
      <c r="V32" s="12" t="s">
        <v>168</v>
      </c>
      <c r="W32" s="8" t="s">
        <v>39</v>
      </c>
      <c r="X32" s="8" t="s">
        <v>66</v>
      </c>
      <c r="Y32" s="8" t="s">
        <v>67</v>
      </c>
      <c r="Z32" s="8" t="s">
        <v>67</v>
      </c>
      <c r="AA32" s="8" t="s">
        <v>43</v>
      </c>
      <c r="AB32" s="8"/>
    </row>
    <row r="33" spans="1:28" ht="14.25" x14ac:dyDescent="0.2">
      <c r="A33" s="8">
        <v>32</v>
      </c>
      <c r="B33" s="8" t="s">
        <v>169</v>
      </c>
      <c r="C33" s="8" t="s">
        <v>28</v>
      </c>
      <c r="D33" s="9">
        <v>46076</v>
      </c>
      <c r="E33" s="8" t="s">
        <v>170</v>
      </c>
      <c r="F33" s="8" t="s">
        <v>171</v>
      </c>
      <c r="G33" s="8" t="s">
        <v>172</v>
      </c>
      <c r="H33" s="11" t="s">
        <v>173</v>
      </c>
      <c r="I33" s="12" t="s">
        <v>174</v>
      </c>
      <c r="J33" s="8" t="s">
        <v>29</v>
      </c>
      <c r="K33" s="8" t="s">
        <v>29</v>
      </c>
      <c r="L33" s="8" t="s">
        <v>29</v>
      </c>
      <c r="M33" s="8" t="s">
        <v>29</v>
      </c>
      <c r="N33" s="8" t="s">
        <v>37</v>
      </c>
      <c r="O33" s="13">
        <v>46076.603125000001</v>
      </c>
      <c r="P33" s="13">
        <v>46076.604513888888</v>
      </c>
      <c r="Q33" s="14">
        <f t="shared" si="0"/>
        <v>1.9999999960418791</v>
      </c>
      <c r="R33" s="13">
        <v>46076.604513888888</v>
      </c>
      <c r="S33" s="13">
        <v>46076.610069444447</v>
      </c>
      <c r="T33" s="14">
        <f t="shared" si="1"/>
        <v>8.0000000051222742</v>
      </c>
      <c r="U33" s="14">
        <f t="shared" si="2"/>
        <v>10.000000001164153</v>
      </c>
      <c r="V33" s="12" t="s">
        <v>153</v>
      </c>
      <c r="W33" s="8" t="s">
        <v>39</v>
      </c>
      <c r="X33" s="8" t="s">
        <v>66</v>
      </c>
      <c r="Y33" s="8" t="s">
        <v>67</v>
      </c>
      <c r="Z33" s="8" t="s">
        <v>67</v>
      </c>
      <c r="AA33" s="8" t="s">
        <v>43</v>
      </c>
      <c r="AB33" s="8"/>
    </row>
    <row r="34" spans="1:28" ht="28.5" x14ac:dyDescent="0.2">
      <c r="A34" s="8">
        <v>33</v>
      </c>
      <c r="B34" s="8" t="s">
        <v>175</v>
      </c>
      <c r="C34" s="8" t="s">
        <v>28</v>
      </c>
      <c r="D34" s="9">
        <v>46077</v>
      </c>
      <c r="E34" s="8" t="s">
        <v>176</v>
      </c>
      <c r="F34" s="8" t="s">
        <v>55</v>
      </c>
      <c r="G34" s="8" t="s">
        <v>55</v>
      </c>
      <c r="H34" s="11" t="s">
        <v>177</v>
      </c>
      <c r="I34" s="12" t="s">
        <v>178</v>
      </c>
      <c r="J34" s="8" t="s">
        <v>29</v>
      </c>
      <c r="K34" s="8" t="s">
        <v>179</v>
      </c>
      <c r="L34" s="8" t="s">
        <v>180</v>
      </c>
      <c r="M34" s="8" t="s">
        <v>36</v>
      </c>
      <c r="N34" s="8" t="s">
        <v>37</v>
      </c>
      <c r="O34" s="13">
        <v>46077.157986111109</v>
      </c>
      <c r="P34" s="13">
        <v>46077.161458333336</v>
      </c>
      <c r="Q34" s="14">
        <f t="shared" si="0"/>
        <v>5.0000000058207661</v>
      </c>
      <c r="R34" s="13">
        <v>46077.208680555559</v>
      </c>
      <c r="S34" s="13">
        <v>46077.222222222219</v>
      </c>
      <c r="T34" s="14">
        <f t="shared" si="1"/>
        <v>19.499999990221113</v>
      </c>
      <c r="U34" s="14">
        <f t="shared" si="2"/>
        <v>92.499999997671694</v>
      </c>
      <c r="V34" s="12" t="s">
        <v>181</v>
      </c>
      <c r="W34" s="8" t="s">
        <v>39</v>
      </c>
      <c r="X34" s="8" t="s">
        <v>66</v>
      </c>
      <c r="Y34" s="8" t="s">
        <v>67</v>
      </c>
      <c r="Z34" s="8" t="s">
        <v>67</v>
      </c>
      <c r="AA34" s="8" t="s">
        <v>43</v>
      </c>
      <c r="AB34" s="8"/>
    </row>
    <row r="35" spans="1:28" ht="28.5" x14ac:dyDescent="0.2">
      <c r="A35" s="8">
        <v>34</v>
      </c>
      <c r="B35" s="8" t="s">
        <v>182</v>
      </c>
      <c r="C35" s="8" t="s">
        <v>28</v>
      </c>
      <c r="D35" s="9">
        <v>46077</v>
      </c>
      <c r="E35" s="8" t="s">
        <v>183</v>
      </c>
      <c r="F35" s="12" t="s">
        <v>184</v>
      </c>
      <c r="G35" s="8" t="s">
        <v>55</v>
      </c>
      <c r="H35" s="11" t="s">
        <v>28</v>
      </c>
      <c r="I35" s="12" t="s">
        <v>185</v>
      </c>
      <c r="J35" s="8" t="s">
        <v>29</v>
      </c>
      <c r="K35" s="8" t="s">
        <v>29</v>
      </c>
      <c r="L35" s="8" t="s">
        <v>29</v>
      </c>
      <c r="M35" s="8" t="s">
        <v>29</v>
      </c>
      <c r="N35" s="8" t="s">
        <v>37</v>
      </c>
      <c r="O35" s="13">
        <v>46077.432962962965</v>
      </c>
      <c r="P35" s="13">
        <v>46077.43712962963</v>
      </c>
      <c r="Q35" s="14">
        <f t="shared" si="0"/>
        <v>5.9999999986030161</v>
      </c>
      <c r="R35" s="13">
        <v>46077.43712962963</v>
      </c>
      <c r="S35" s="13">
        <v>46077.448437500003</v>
      </c>
      <c r="T35" s="14">
        <f t="shared" si="1"/>
        <v>16.283333336468786</v>
      </c>
      <c r="U35" s="14">
        <f t="shared" si="2"/>
        <v>22.283333335071802</v>
      </c>
      <c r="V35" s="12" t="s">
        <v>158</v>
      </c>
      <c r="W35" s="8" t="s">
        <v>39</v>
      </c>
      <c r="X35" s="8" t="s">
        <v>66</v>
      </c>
      <c r="Y35" s="8" t="s">
        <v>67</v>
      </c>
      <c r="Z35" s="8" t="s">
        <v>67</v>
      </c>
      <c r="AA35" s="8" t="s">
        <v>43</v>
      </c>
      <c r="AB35" s="8"/>
    </row>
    <row r="36" spans="1:28" ht="14.25" x14ac:dyDescent="0.2">
      <c r="A36" s="8">
        <v>35</v>
      </c>
      <c r="B36" s="8" t="s">
        <v>186</v>
      </c>
      <c r="C36" s="8" t="s">
        <v>28</v>
      </c>
      <c r="D36" s="9">
        <v>46077</v>
      </c>
      <c r="E36" s="8" t="s">
        <v>183</v>
      </c>
      <c r="F36" s="8" t="s">
        <v>60</v>
      </c>
      <c r="G36" s="8" t="s">
        <v>60</v>
      </c>
      <c r="H36" s="11" t="s">
        <v>28</v>
      </c>
      <c r="I36" s="12" t="s">
        <v>187</v>
      </c>
      <c r="J36" s="8" t="s">
        <v>29</v>
      </c>
      <c r="K36" s="8" t="s">
        <v>29</v>
      </c>
      <c r="L36" s="8" t="s">
        <v>29</v>
      </c>
      <c r="M36" s="8" t="s">
        <v>29</v>
      </c>
      <c r="N36" s="8" t="s">
        <v>37</v>
      </c>
      <c r="O36" s="13">
        <v>46077.49119212963</v>
      </c>
      <c r="P36" s="13">
        <v>46077.49119212963</v>
      </c>
      <c r="Q36" s="14">
        <f t="shared" si="0"/>
        <v>0</v>
      </c>
      <c r="R36" s="13">
        <v>46077.49119212963</v>
      </c>
      <c r="S36" s="13">
        <v>46077.508368055554</v>
      </c>
      <c r="T36" s="14">
        <f t="shared" si="1"/>
        <v>24.733333331532776</v>
      </c>
      <c r="U36" s="14">
        <f t="shared" si="2"/>
        <v>24.733333331532776</v>
      </c>
      <c r="V36" s="12" t="s">
        <v>158</v>
      </c>
      <c r="W36" s="8" t="s">
        <v>39</v>
      </c>
      <c r="X36" s="8" t="s">
        <v>66</v>
      </c>
      <c r="Y36" s="8" t="s">
        <v>67</v>
      </c>
      <c r="Z36" s="8" t="s">
        <v>67</v>
      </c>
      <c r="AA36" s="8" t="s">
        <v>43</v>
      </c>
      <c r="AB36" s="8"/>
    </row>
    <row r="37" spans="1:28" ht="14.25" x14ac:dyDescent="0.2">
      <c r="A37" s="8">
        <v>36</v>
      </c>
      <c r="B37" s="8" t="s">
        <v>188</v>
      </c>
      <c r="C37" s="8" t="s">
        <v>28</v>
      </c>
      <c r="D37" s="9">
        <v>46077</v>
      </c>
      <c r="E37" s="8" t="s">
        <v>189</v>
      </c>
      <c r="F37" s="8" t="s">
        <v>171</v>
      </c>
      <c r="G37" s="8" t="s">
        <v>190</v>
      </c>
      <c r="H37" s="11" t="s">
        <v>173</v>
      </c>
      <c r="I37" s="12" t="s">
        <v>174</v>
      </c>
      <c r="J37" s="8" t="s">
        <v>29</v>
      </c>
      <c r="K37" s="8" t="s">
        <v>191</v>
      </c>
      <c r="L37" s="8" t="s">
        <v>192</v>
      </c>
      <c r="M37" s="8" t="s">
        <v>36</v>
      </c>
      <c r="N37" s="8" t="s">
        <v>37</v>
      </c>
      <c r="O37" s="13">
        <v>46077.548136574071</v>
      </c>
      <c r="P37" s="13">
        <v>46077.548831018517</v>
      </c>
      <c r="Q37" s="14">
        <f t="shared" si="0"/>
        <v>1.000000003259629</v>
      </c>
      <c r="R37" s="13">
        <v>46077.562719907408</v>
      </c>
      <c r="S37" s="13">
        <v>46077.639803240738</v>
      </c>
      <c r="T37" s="14">
        <f t="shared" si="1"/>
        <v>110.99999999511056</v>
      </c>
      <c r="U37" s="14">
        <f t="shared" si="2"/>
        <v>132.00000000069849</v>
      </c>
      <c r="V37" s="12" t="s">
        <v>193</v>
      </c>
      <c r="W37" s="8" t="s">
        <v>39</v>
      </c>
      <c r="X37" s="8" t="s">
        <v>66</v>
      </c>
      <c r="Y37" s="8" t="s">
        <v>67</v>
      </c>
      <c r="Z37" s="8" t="s">
        <v>67</v>
      </c>
      <c r="AA37" s="8" t="s">
        <v>43</v>
      </c>
      <c r="AB37" s="8"/>
    </row>
    <row r="38" spans="1:28" ht="57" x14ac:dyDescent="0.2">
      <c r="A38" s="8">
        <v>37</v>
      </c>
      <c r="B38" s="8" t="s">
        <v>194</v>
      </c>
      <c r="C38" s="8" t="s">
        <v>28</v>
      </c>
      <c r="D38" s="9">
        <v>46078</v>
      </c>
      <c r="E38" s="8" t="s">
        <v>151</v>
      </c>
      <c r="F38" s="12" t="s">
        <v>184</v>
      </c>
      <c r="G38" s="8" t="s">
        <v>195</v>
      </c>
      <c r="H38" s="11" t="s">
        <v>196</v>
      </c>
      <c r="I38" s="12" t="s">
        <v>197</v>
      </c>
      <c r="J38" s="8" t="s">
        <v>29</v>
      </c>
      <c r="K38" s="8" t="s">
        <v>198</v>
      </c>
      <c r="L38" s="8" t="s">
        <v>199</v>
      </c>
      <c r="M38" s="8" t="s">
        <v>36</v>
      </c>
      <c r="N38" s="8" t="s">
        <v>37</v>
      </c>
      <c r="O38" s="13">
        <v>46078.342233796298</v>
      </c>
      <c r="P38" s="13">
        <v>46078.342928240738</v>
      </c>
      <c r="Q38" s="14">
        <f t="shared" si="0"/>
        <v>0.99999999278225005</v>
      </c>
      <c r="R38" s="13">
        <v>46078.372789351852</v>
      </c>
      <c r="S38" s="13">
        <v>46078.430601851855</v>
      </c>
      <c r="T38" s="14">
        <f t="shared" si="1"/>
        <v>83.250000004190952</v>
      </c>
      <c r="U38" s="14">
        <f t="shared" si="2"/>
        <v>127.25000000093132</v>
      </c>
      <c r="V38" s="12" t="s">
        <v>200</v>
      </c>
      <c r="W38" s="8" t="s">
        <v>39</v>
      </c>
      <c r="X38" s="8" t="s">
        <v>66</v>
      </c>
      <c r="Y38" s="8" t="s">
        <v>67</v>
      </c>
      <c r="Z38" s="8" t="s">
        <v>67</v>
      </c>
      <c r="AA38" s="8" t="s">
        <v>43</v>
      </c>
      <c r="AB38" s="8"/>
    </row>
    <row r="39" spans="1:28" ht="42.75" x14ac:dyDescent="0.2">
      <c r="A39" s="8">
        <v>38</v>
      </c>
      <c r="B39" s="8" t="s">
        <v>201</v>
      </c>
      <c r="C39" s="8" t="s">
        <v>28</v>
      </c>
      <c r="D39" s="9">
        <v>46079</v>
      </c>
      <c r="E39" s="8" t="s">
        <v>151</v>
      </c>
      <c r="F39" s="8" t="s">
        <v>60</v>
      </c>
      <c r="G39" s="8" t="s">
        <v>60</v>
      </c>
      <c r="H39" s="12" t="s">
        <v>202</v>
      </c>
      <c r="I39" s="12" t="s">
        <v>203</v>
      </c>
      <c r="J39" s="8" t="s">
        <v>29</v>
      </c>
      <c r="K39" s="8" t="s">
        <v>204</v>
      </c>
      <c r="L39" s="8" t="s">
        <v>205</v>
      </c>
      <c r="M39" s="8" t="s">
        <v>36</v>
      </c>
      <c r="N39" s="8" t="s">
        <v>37</v>
      </c>
      <c r="O39" s="13">
        <v>46079.336284722223</v>
      </c>
      <c r="P39" s="13">
        <v>46079.337673611109</v>
      </c>
      <c r="Q39" s="14">
        <f t="shared" si="0"/>
        <v>1.9999999960418791</v>
      </c>
      <c r="R39" s="13">
        <v>46079.336284722223</v>
      </c>
      <c r="S39" s="13">
        <v>46079.362511574072</v>
      </c>
      <c r="T39" s="14">
        <f t="shared" si="1"/>
        <v>37.766666662646458</v>
      </c>
      <c r="U39" s="14">
        <f t="shared" si="2"/>
        <v>37.766666662646458</v>
      </c>
      <c r="V39" s="12" t="s">
        <v>206</v>
      </c>
      <c r="W39" s="8" t="s">
        <v>39</v>
      </c>
      <c r="X39" s="8" t="s">
        <v>40</v>
      </c>
      <c r="Y39" s="8" t="s">
        <v>41</v>
      </c>
      <c r="Z39" s="8" t="s">
        <v>207</v>
      </c>
      <c r="AA39" s="8" t="s">
        <v>43</v>
      </c>
      <c r="AB39" s="8"/>
    </row>
    <row r="40" spans="1:28" ht="28.5" x14ac:dyDescent="0.2">
      <c r="A40" s="8">
        <v>39</v>
      </c>
      <c r="B40" s="10" t="s">
        <v>208</v>
      </c>
      <c r="C40" s="8" t="s">
        <v>28</v>
      </c>
      <c r="D40" s="9">
        <v>46079</v>
      </c>
      <c r="E40" s="8" t="s">
        <v>151</v>
      </c>
      <c r="F40" s="8" t="s">
        <v>60</v>
      </c>
      <c r="G40" s="8" t="s">
        <v>60</v>
      </c>
      <c r="H40" s="12" t="s">
        <v>209</v>
      </c>
      <c r="I40" s="12" t="s">
        <v>45</v>
      </c>
      <c r="J40" s="8" t="s">
        <v>29</v>
      </c>
      <c r="K40" s="8" t="s">
        <v>46</v>
      </c>
      <c r="L40" s="8" t="s">
        <v>47</v>
      </c>
      <c r="M40" s="8" t="s">
        <v>36</v>
      </c>
      <c r="N40" s="8" t="s">
        <v>37</v>
      </c>
      <c r="O40" s="13">
        <v>46079.349780092591</v>
      </c>
      <c r="P40" s="13">
        <v>46079.351168981484</v>
      </c>
      <c r="Q40" s="14">
        <f t="shared" si="0"/>
        <v>2.000000006519258</v>
      </c>
      <c r="R40" s="13">
        <v>46079.351168981484</v>
      </c>
      <c r="S40" s="13">
        <v>46079.365752314814</v>
      </c>
      <c r="T40" s="14">
        <f t="shared" si="1"/>
        <v>20.999999995110556</v>
      </c>
      <c r="U40" s="14">
        <f t="shared" si="2"/>
        <v>23.000000001629815</v>
      </c>
      <c r="V40" s="12" t="s">
        <v>210</v>
      </c>
      <c r="W40" s="8" t="s">
        <v>39</v>
      </c>
      <c r="X40" s="8" t="s">
        <v>66</v>
      </c>
      <c r="Y40" s="8" t="s">
        <v>67</v>
      </c>
      <c r="Z40" s="8" t="s">
        <v>67</v>
      </c>
      <c r="AA40" s="8" t="s">
        <v>43</v>
      </c>
      <c r="AB40" s="8"/>
    </row>
    <row r="41" spans="1:28" ht="14.25" x14ac:dyDescent="0.2">
      <c r="A41" s="8">
        <v>40</v>
      </c>
      <c r="B41" s="10" t="s">
        <v>211</v>
      </c>
      <c r="C41" s="8" t="s">
        <v>28</v>
      </c>
      <c r="D41" s="9">
        <v>46079</v>
      </c>
      <c r="E41" s="8" t="s">
        <v>151</v>
      </c>
      <c r="F41" s="8" t="s">
        <v>60</v>
      </c>
      <c r="G41" s="8" t="s">
        <v>60</v>
      </c>
      <c r="H41" s="12" t="s">
        <v>212</v>
      </c>
      <c r="I41" s="12" t="s">
        <v>213</v>
      </c>
      <c r="J41" s="8" t="s">
        <v>29</v>
      </c>
      <c r="K41" s="8" t="s">
        <v>204</v>
      </c>
      <c r="L41" s="8" t="s">
        <v>214</v>
      </c>
      <c r="M41" s="8" t="s">
        <v>36</v>
      </c>
      <c r="N41" s="8" t="s">
        <v>37</v>
      </c>
      <c r="O41" s="13">
        <v>46079.376342592594</v>
      </c>
      <c r="P41" s="13">
        <v>46079.37773148148</v>
      </c>
      <c r="Q41" s="14">
        <f t="shared" si="0"/>
        <v>1.9999999960418791</v>
      </c>
      <c r="R41" s="13">
        <v>46079.382592592592</v>
      </c>
      <c r="S41" s="13">
        <v>46079.392314814817</v>
      </c>
      <c r="T41" s="14">
        <f t="shared" si="1"/>
        <v>14.00000000372529</v>
      </c>
      <c r="U41" s="14">
        <f t="shared" si="2"/>
        <v>23.000000001629815</v>
      </c>
      <c r="V41" s="12" t="s">
        <v>215</v>
      </c>
      <c r="W41" s="8" t="s">
        <v>39</v>
      </c>
      <c r="X41" s="8" t="s">
        <v>66</v>
      </c>
      <c r="Y41" s="8" t="s">
        <v>67</v>
      </c>
      <c r="Z41" s="8" t="s">
        <v>67</v>
      </c>
      <c r="AA41" s="8" t="s">
        <v>43</v>
      </c>
      <c r="AB41" s="8"/>
    </row>
    <row r="42" spans="1:28" ht="14.25" x14ac:dyDescent="0.2">
      <c r="A42" s="8">
        <v>41</v>
      </c>
      <c r="B42" s="10" t="s">
        <v>216</v>
      </c>
      <c r="C42" s="8" t="s">
        <v>28</v>
      </c>
      <c r="D42" s="9">
        <v>46079</v>
      </c>
      <c r="E42" s="8" t="s">
        <v>151</v>
      </c>
      <c r="F42" s="8" t="s">
        <v>60</v>
      </c>
      <c r="G42" s="8" t="s">
        <v>60</v>
      </c>
      <c r="H42" s="12" t="s">
        <v>217</v>
      </c>
      <c r="I42" s="12" t="s">
        <v>218</v>
      </c>
      <c r="J42" s="8" t="s">
        <v>29</v>
      </c>
      <c r="K42" s="8" t="s">
        <v>77</v>
      </c>
      <c r="L42" s="8" t="s">
        <v>219</v>
      </c>
      <c r="M42" s="8" t="s">
        <v>36</v>
      </c>
      <c r="N42" s="8" t="s">
        <v>37</v>
      </c>
      <c r="O42" s="13">
        <v>46079.431469907409</v>
      </c>
      <c r="P42" s="13">
        <v>46079.431469907409</v>
      </c>
      <c r="Q42" s="14">
        <f t="shared" si="0"/>
        <v>0</v>
      </c>
      <c r="R42" s="13">
        <v>46079.437025462961</v>
      </c>
      <c r="S42" s="13">
        <v>46079.448136574072</v>
      </c>
      <c r="T42" s="14">
        <f t="shared" si="1"/>
        <v>15.999999999767169</v>
      </c>
      <c r="U42" s="14">
        <f t="shared" si="2"/>
        <v>23.999999994412065</v>
      </c>
      <c r="V42" s="12" t="s">
        <v>215</v>
      </c>
      <c r="W42" s="8" t="s">
        <v>39</v>
      </c>
      <c r="X42" s="8" t="s">
        <v>66</v>
      </c>
      <c r="Y42" s="8" t="s">
        <v>67</v>
      </c>
      <c r="Z42" s="8" t="s">
        <v>67</v>
      </c>
      <c r="AA42" s="8" t="s">
        <v>43</v>
      </c>
      <c r="AB42" s="8"/>
    </row>
    <row r="43" spans="1:28" ht="85.5" x14ac:dyDescent="0.2">
      <c r="A43" s="8">
        <v>42</v>
      </c>
      <c r="B43" s="8" t="s">
        <v>220</v>
      </c>
      <c r="C43" s="8" t="s">
        <v>28</v>
      </c>
      <c r="D43" s="9">
        <v>46079</v>
      </c>
      <c r="E43" s="8" t="s">
        <v>151</v>
      </c>
      <c r="F43" s="12" t="s">
        <v>184</v>
      </c>
      <c r="G43" s="12" t="s">
        <v>184</v>
      </c>
      <c r="H43" s="12" t="s">
        <v>221</v>
      </c>
      <c r="I43" s="12" t="s">
        <v>222</v>
      </c>
      <c r="J43" s="8" t="s">
        <v>29</v>
      </c>
      <c r="K43" s="8" t="s">
        <v>29</v>
      </c>
      <c r="L43" s="8" t="s">
        <v>29</v>
      </c>
      <c r="M43" s="8" t="s">
        <v>29</v>
      </c>
      <c r="N43" s="8" t="s">
        <v>37</v>
      </c>
      <c r="O43" s="13">
        <v>46079.438402777778</v>
      </c>
      <c r="P43" s="13">
        <v>46079.438402777778</v>
      </c>
      <c r="Q43" s="14">
        <f t="shared" si="0"/>
        <v>0</v>
      </c>
      <c r="R43" s="13">
        <v>46079.438402777778</v>
      </c>
      <c r="S43" s="13">
        <v>46079.482974537037</v>
      </c>
      <c r="T43" s="14">
        <f t="shared" si="1"/>
        <v>64.183333333348855</v>
      </c>
      <c r="U43" s="14">
        <f t="shared" si="2"/>
        <v>64.183333333348855</v>
      </c>
      <c r="V43" s="12" t="s">
        <v>223</v>
      </c>
      <c r="W43" s="8" t="s">
        <v>39</v>
      </c>
      <c r="X43" s="15" t="s">
        <v>40</v>
      </c>
      <c r="Y43" s="15" t="s">
        <v>41</v>
      </c>
      <c r="Z43" s="15" t="s">
        <v>53</v>
      </c>
      <c r="AA43" s="8" t="s">
        <v>43</v>
      </c>
      <c r="AB43" s="8"/>
    </row>
    <row r="44" spans="1:28" ht="28.5" x14ac:dyDescent="0.2">
      <c r="A44" s="8">
        <v>43</v>
      </c>
      <c r="B44" s="16" t="s">
        <v>224</v>
      </c>
      <c r="C44" s="16" t="s">
        <v>28</v>
      </c>
      <c r="D44" s="9">
        <v>46080</v>
      </c>
      <c r="E44" s="15" t="s">
        <v>225</v>
      </c>
      <c r="F44" s="15" t="s">
        <v>226</v>
      </c>
      <c r="G44" s="15" t="s">
        <v>227</v>
      </c>
      <c r="H44" s="15" t="s">
        <v>228</v>
      </c>
      <c r="I44" s="15" t="s">
        <v>229</v>
      </c>
      <c r="J44" s="16" t="s">
        <v>29</v>
      </c>
      <c r="K44" s="16" t="s">
        <v>230</v>
      </c>
      <c r="L44" s="8" t="s">
        <v>231</v>
      </c>
      <c r="M44" s="8" t="s">
        <v>36</v>
      </c>
      <c r="N44" s="8" t="s">
        <v>37</v>
      </c>
      <c r="O44" s="13">
        <v>46080.50576388889</v>
      </c>
      <c r="P44" s="13">
        <v>46080.507847222223</v>
      </c>
      <c r="Q44" s="14">
        <f t="shared" si="0"/>
        <v>2.9999999993015081</v>
      </c>
      <c r="R44" s="13">
        <v>46080.507847222223</v>
      </c>
      <c r="S44" s="13">
        <v>46080.649513888886</v>
      </c>
      <c r="T44" s="14">
        <f t="shared" si="1"/>
        <v>203.99999999441206</v>
      </c>
      <c r="U44" s="14">
        <f t="shared" si="2"/>
        <v>206.99999999371357</v>
      </c>
      <c r="V44" s="17" t="s">
        <v>232</v>
      </c>
      <c r="W44" s="16" t="s">
        <v>39</v>
      </c>
      <c r="X44" s="8" t="s">
        <v>66</v>
      </c>
      <c r="Y44" s="16" t="s">
        <v>67</v>
      </c>
      <c r="Z44" s="8" t="s">
        <v>67</v>
      </c>
      <c r="AA44" s="8" t="s">
        <v>43</v>
      </c>
      <c r="AB44" s="8"/>
    </row>
    <row r="45" spans="1:28" ht="14.25" x14ac:dyDescent="0.2">
      <c r="A45" s="8">
        <v>44</v>
      </c>
      <c r="B45" s="16" t="s">
        <v>233</v>
      </c>
      <c r="C45" s="16" t="s">
        <v>28</v>
      </c>
      <c r="D45" s="9">
        <v>46081</v>
      </c>
      <c r="E45" s="15" t="s">
        <v>183</v>
      </c>
      <c r="F45" s="15" t="s">
        <v>60</v>
      </c>
      <c r="G45" s="15" t="s">
        <v>60</v>
      </c>
      <c r="H45" s="11" t="s">
        <v>28</v>
      </c>
      <c r="I45" s="8" t="s">
        <v>234</v>
      </c>
      <c r="J45" s="16" t="s">
        <v>29</v>
      </c>
      <c r="K45" s="16" t="s">
        <v>29</v>
      </c>
      <c r="L45" s="16" t="s">
        <v>29</v>
      </c>
      <c r="M45" s="16" t="s">
        <v>29</v>
      </c>
      <c r="N45" s="8" t="s">
        <v>37</v>
      </c>
      <c r="O45" s="13">
        <v>46081.462500000001</v>
      </c>
      <c r="P45" s="13">
        <v>46081.462500000001</v>
      </c>
      <c r="Q45" s="14">
        <f t="shared" si="0"/>
        <v>0</v>
      </c>
      <c r="R45" s="13">
        <v>46081.462500000001</v>
      </c>
      <c r="S45" s="13">
        <v>46081.474340277775</v>
      </c>
      <c r="T45" s="14">
        <f t="shared" si="1"/>
        <v>17.049999993760139</v>
      </c>
      <c r="U45" s="14">
        <f t="shared" si="2"/>
        <v>17.049999993760139</v>
      </c>
      <c r="V45" s="8" t="s">
        <v>235</v>
      </c>
      <c r="W45" s="16" t="s">
        <v>39</v>
      </c>
      <c r="X45" s="8" t="s">
        <v>66</v>
      </c>
      <c r="Y45" s="16" t="s">
        <v>67</v>
      </c>
      <c r="Z45" s="8" t="s">
        <v>67</v>
      </c>
      <c r="AA45" s="8" t="s">
        <v>43</v>
      </c>
      <c r="AB45" s="8"/>
    </row>
    <row r="46" spans="1:28" ht="14.25" x14ac:dyDescent="0.2">
      <c r="A46" s="8">
        <v>45</v>
      </c>
      <c r="B46" s="16" t="s">
        <v>236</v>
      </c>
      <c r="C46" s="16" t="s">
        <v>28</v>
      </c>
      <c r="D46" s="9">
        <v>46084</v>
      </c>
      <c r="E46" s="15" t="s">
        <v>183</v>
      </c>
      <c r="F46" s="15" t="s">
        <v>60</v>
      </c>
      <c r="G46" s="15" t="s">
        <v>60</v>
      </c>
      <c r="H46" s="11" t="s">
        <v>28</v>
      </c>
      <c r="I46" s="8" t="s">
        <v>237</v>
      </c>
      <c r="J46" s="8" t="s">
        <v>29</v>
      </c>
      <c r="K46" s="8" t="s">
        <v>238</v>
      </c>
      <c r="L46" s="8" t="s">
        <v>239</v>
      </c>
      <c r="M46" s="8" t="s">
        <v>36</v>
      </c>
      <c r="N46" s="8" t="s">
        <v>37</v>
      </c>
      <c r="O46" s="13">
        <v>46084.51221064815</v>
      </c>
      <c r="P46" s="13">
        <v>46084.51221064815</v>
      </c>
      <c r="Q46" s="14">
        <f t="shared" si="0"/>
        <v>0</v>
      </c>
      <c r="R46" s="13">
        <v>46084.51221064815</v>
      </c>
      <c r="S46" s="13">
        <v>46084.530995370369</v>
      </c>
      <c r="T46" s="14">
        <f t="shared" si="1"/>
        <v>27.049999994924292</v>
      </c>
      <c r="U46" s="14">
        <f t="shared" si="2"/>
        <v>27.049999994924292</v>
      </c>
      <c r="V46" s="12" t="s">
        <v>240</v>
      </c>
      <c r="W46" s="16" t="s">
        <v>39</v>
      </c>
      <c r="X46" s="8" t="s">
        <v>40</v>
      </c>
      <c r="Y46" s="16" t="s">
        <v>41</v>
      </c>
      <c r="Z46" s="8" t="s">
        <v>241</v>
      </c>
      <c r="AA46" s="8" t="s">
        <v>43</v>
      </c>
      <c r="AB46" s="8"/>
    </row>
    <row r="47" spans="1:28" ht="14.25" x14ac:dyDescent="0.2">
      <c r="A47" s="8">
        <v>46</v>
      </c>
      <c r="B47" s="16" t="s">
        <v>242</v>
      </c>
      <c r="C47" s="16" t="s">
        <v>28</v>
      </c>
      <c r="D47" s="9">
        <v>46085</v>
      </c>
      <c r="E47" s="15" t="s">
        <v>183</v>
      </c>
      <c r="F47" s="12" t="s">
        <v>243</v>
      </c>
      <c r="G47" s="8" t="s">
        <v>125</v>
      </c>
      <c r="H47" s="11" t="s">
        <v>244</v>
      </c>
      <c r="I47" s="8" t="s">
        <v>245</v>
      </c>
      <c r="J47" s="8" t="s">
        <v>29</v>
      </c>
      <c r="K47" s="8" t="s">
        <v>105</v>
      </c>
      <c r="L47" s="8" t="s">
        <v>246</v>
      </c>
      <c r="M47" s="8" t="s">
        <v>107</v>
      </c>
      <c r="N47" s="8" t="s">
        <v>37</v>
      </c>
      <c r="O47" s="13">
        <v>46085.348321759258</v>
      </c>
      <c r="P47" s="13">
        <v>46085.349710648145</v>
      </c>
      <c r="Q47" s="14">
        <f t="shared" si="0"/>
        <v>1.9999999960418791</v>
      </c>
      <c r="R47" s="13">
        <v>46085.374710648146</v>
      </c>
      <c r="S47" s="13">
        <v>46085.400243055556</v>
      </c>
      <c r="T47" s="14">
        <f t="shared" si="1"/>
        <v>36.766666669864208</v>
      </c>
      <c r="U47" s="14">
        <f t="shared" si="2"/>
        <v>74.766666668001562</v>
      </c>
      <c r="V47" s="8" t="s">
        <v>129</v>
      </c>
      <c r="W47" s="16" t="s">
        <v>39</v>
      </c>
      <c r="X47" s="8" t="s">
        <v>66</v>
      </c>
      <c r="Y47" s="8" t="s">
        <v>67</v>
      </c>
      <c r="Z47" s="8" t="s">
        <v>67</v>
      </c>
      <c r="AA47" s="8" t="s">
        <v>43</v>
      </c>
      <c r="AB47" s="8"/>
    </row>
    <row r="48" spans="1:28" ht="142.5" x14ac:dyDescent="0.2">
      <c r="A48" s="8">
        <v>47</v>
      </c>
      <c r="B48" s="16" t="s">
        <v>247</v>
      </c>
      <c r="C48" s="16" t="s">
        <v>28</v>
      </c>
      <c r="D48" s="9">
        <v>46085</v>
      </c>
      <c r="E48" s="15" t="s">
        <v>183</v>
      </c>
      <c r="F48" s="12" t="s">
        <v>248</v>
      </c>
      <c r="G48" s="12" t="s">
        <v>249</v>
      </c>
      <c r="H48" s="11" t="s">
        <v>250</v>
      </c>
      <c r="I48" s="8" t="s">
        <v>251</v>
      </c>
      <c r="J48" s="8" t="s">
        <v>29</v>
      </c>
      <c r="K48" s="8" t="s">
        <v>105</v>
      </c>
      <c r="L48" s="8" t="s">
        <v>246</v>
      </c>
      <c r="M48" s="8" t="s">
        <v>107</v>
      </c>
      <c r="N48" s="8" t="s">
        <v>37</v>
      </c>
      <c r="O48" s="13">
        <v>46085.388599537036</v>
      </c>
      <c r="P48" s="13">
        <v>46085.388599537036</v>
      </c>
      <c r="Q48" s="14">
        <f t="shared" si="0"/>
        <v>0</v>
      </c>
      <c r="R48" s="13">
        <v>46085.403182870374</v>
      </c>
      <c r="S48" s="13">
        <v>46085.411365740743</v>
      </c>
      <c r="T48" s="14">
        <f t="shared" si="1"/>
        <v>11.783333332277834</v>
      </c>
      <c r="U48" s="14">
        <f t="shared" si="2"/>
        <v>32.78333333786577</v>
      </c>
      <c r="V48" s="12" t="s">
        <v>252</v>
      </c>
      <c r="W48" s="16" t="s">
        <v>39</v>
      </c>
      <c r="X48" s="8" t="s">
        <v>66</v>
      </c>
      <c r="Y48" s="8" t="s">
        <v>67</v>
      </c>
      <c r="Z48" s="8" t="s">
        <v>67</v>
      </c>
      <c r="AA48" s="8" t="s">
        <v>43</v>
      </c>
      <c r="AB48" s="8"/>
    </row>
    <row r="49" spans="1:28" ht="14.25" x14ac:dyDescent="0.2">
      <c r="A49" s="8">
        <v>48</v>
      </c>
      <c r="B49" s="15" t="s">
        <v>253</v>
      </c>
      <c r="C49" s="16" t="s">
        <v>28</v>
      </c>
      <c r="D49" s="9">
        <v>46089</v>
      </c>
      <c r="E49" s="8" t="s">
        <v>254</v>
      </c>
      <c r="F49" s="12" t="s">
        <v>255</v>
      </c>
      <c r="G49" s="8" t="s">
        <v>125</v>
      </c>
      <c r="H49" s="8" t="s">
        <v>256</v>
      </c>
      <c r="I49" s="8" t="s">
        <v>257</v>
      </c>
      <c r="J49" s="8" t="s">
        <v>29</v>
      </c>
      <c r="K49" s="8" t="s">
        <v>29</v>
      </c>
      <c r="L49" s="8" t="s">
        <v>258</v>
      </c>
      <c r="M49" s="8" t="s">
        <v>36</v>
      </c>
      <c r="N49" s="8" t="s">
        <v>37</v>
      </c>
      <c r="O49" s="18">
        <v>46089.223969907405</v>
      </c>
      <c r="P49" s="13">
        <v>46089.227777777778</v>
      </c>
      <c r="Q49" s="14">
        <f t="shared" si="0"/>
        <v>5.4833333368878812</v>
      </c>
      <c r="R49" s="18">
        <v>46089.250358796293</v>
      </c>
      <c r="S49" s="18">
        <v>46089.292604166665</v>
      </c>
      <c r="T49" s="14">
        <f t="shared" si="1"/>
        <v>60.833333336049691</v>
      </c>
      <c r="U49" s="14">
        <f t="shared" si="2"/>
        <v>98.833333334187046</v>
      </c>
      <c r="V49" s="8" t="s">
        <v>259</v>
      </c>
      <c r="W49" s="16" t="s">
        <v>39</v>
      </c>
      <c r="X49" s="15" t="s">
        <v>40</v>
      </c>
      <c r="Y49" s="15" t="s">
        <v>41</v>
      </c>
      <c r="Z49" s="15" t="s">
        <v>42</v>
      </c>
      <c r="AA49" s="8" t="s">
        <v>43</v>
      </c>
      <c r="AB49" s="8"/>
    </row>
    <row r="50" spans="1:28" ht="42.75" x14ac:dyDescent="0.2">
      <c r="A50" s="8">
        <v>49</v>
      </c>
      <c r="B50" s="15" t="s">
        <v>260</v>
      </c>
      <c r="C50" s="16" t="s">
        <v>28</v>
      </c>
      <c r="D50" s="9">
        <v>46089</v>
      </c>
      <c r="E50" s="8" t="s">
        <v>183</v>
      </c>
      <c r="F50" s="12" t="s">
        <v>184</v>
      </c>
      <c r="G50" s="8" t="s">
        <v>55</v>
      </c>
      <c r="H50" s="8" t="s">
        <v>261</v>
      </c>
      <c r="I50" s="12" t="s">
        <v>262</v>
      </c>
      <c r="J50" s="8" t="s">
        <v>29</v>
      </c>
      <c r="K50" s="8" t="s">
        <v>29</v>
      </c>
      <c r="L50" s="8"/>
      <c r="M50" s="8"/>
      <c r="N50" s="8" t="s">
        <v>37</v>
      </c>
      <c r="O50" s="18">
        <v>46089.72457175926</v>
      </c>
      <c r="P50" s="13">
        <v>46089.727349537039</v>
      </c>
      <c r="Q50" s="14">
        <f t="shared" si="0"/>
        <v>4.0000000025611371</v>
      </c>
      <c r="R50" s="19">
        <v>46089.751655092594</v>
      </c>
      <c r="S50" s="19">
        <v>46089.763113425928</v>
      </c>
      <c r="T50" s="14">
        <f t="shared" si="1"/>
        <v>16.500000001396984</v>
      </c>
      <c r="U50" s="14">
        <f t="shared" si="2"/>
        <v>55.500000002793968</v>
      </c>
      <c r="V50" s="12" t="s">
        <v>263</v>
      </c>
      <c r="W50" s="16" t="s">
        <v>39</v>
      </c>
      <c r="X50" s="8" t="s">
        <v>66</v>
      </c>
      <c r="Y50" s="8" t="s">
        <v>67</v>
      </c>
      <c r="Z50" s="8" t="s">
        <v>67</v>
      </c>
      <c r="AA50" s="8" t="s">
        <v>43</v>
      </c>
      <c r="AB50" s="8"/>
    </row>
    <row r="51" spans="1:28" ht="28.5" x14ac:dyDescent="0.2">
      <c r="A51" s="8">
        <v>50</v>
      </c>
      <c r="B51" s="15" t="s">
        <v>264</v>
      </c>
      <c r="C51" s="16" t="s">
        <v>28</v>
      </c>
      <c r="D51" s="9">
        <v>46090</v>
      </c>
      <c r="E51" s="15" t="s">
        <v>265</v>
      </c>
      <c r="F51" s="12" t="s">
        <v>184</v>
      </c>
      <c r="G51" s="8" t="s">
        <v>55</v>
      </c>
      <c r="H51" s="11" t="s">
        <v>266</v>
      </c>
      <c r="I51" s="8" t="s">
        <v>33</v>
      </c>
      <c r="J51" s="8" t="s">
        <v>29</v>
      </c>
      <c r="K51" s="8" t="s">
        <v>29</v>
      </c>
      <c r="L51" s="8" t="s">
        <v>267</v>
      </c>
      <c r="M51" s="8" t="s">
        <v>36</v>
      </c>
      <c r="N51" s="8" t="s">
        <v>37</v>
      </c>
      <c r="O51" s="18">
        <v>46090.33315972222</v>
      </c>
      <c r="P51" s="13">
        <v>46090.337500000001</v>
      </c>
      <c r="Q51" s="14">
        <f t="shared" si="0"/>
        <v>6.2500000046566129</v>
      </c>
      <c r="R51" s="19">
        <v>46090.376215277778</v>
      </c>
      <c r="S51" s="19">
        <v>46090.406435185185</v>
      </c>
      <c r="T51" s="14">
        <f t="shared" si="1"/>
        <v>43.516666665673256</v>
      </c>
      <c r="U51" s="14">
        <f t="shared" si="2"/>
        <v>105.51666666870005</v>
      </c>
      <c r="V51" s="12" t="s">
        <v>268</v>
      </c>
      <c r="W51" s="16" t="s">
        <v>39</v>
      </c>
      <c r="X51" s="15" t="s">
        <v>40</v>
      </c>
      <c r="Y51" s="15" t="s">
        <v>41</v>
      </c>
      <c r="Z51" s="8" t="s">
        <v>241</v>
      </c>
      <c r="AA51" s="8" t="s">
        <v>43</v>
      </c>
      <c r="AB51" s="8"/>
    </row>
    <row r="52" spans="1:28" ht="14.25" x14ac:dyDescent="0.2">
      <c r="A52" s="8">
        <v>51</v>
      </c>
      <c r="B52" s="15" t="s">
        <v>269</v>
      </c>
      <c r="C52" s="16" t="s">
        <v>28</v>
      </c>
      <c r="D52" s="9">
        <v>46090</v>
      </c>
      <c r="E52" s="15" t="s">
        <v>265</v>
      </c>
      <c r="F52" s="12" t="s">
        <v>270</v>
      </c>
      <c r="G52" s="8" t="s">
        <v>271</v>
      </c>
      <c r="H52" s="8" t="s">
        <v>272</v>
      </c>
      <c r="I52" s="8" t="s">
        <v>273</v>
      </c>
      <c r="J52" s="8" t="s">
        <v>29</v>
      </c>
      <c r="K52" s="8" t="s">
        <v>29</v>
      </c>
      <c r="L52" s="8" t="s">
        <v>274</v>
      </c>
      <c r="M52" s="8" t="s">
        <v>36</v>
      </c>
      <c r="N52" s="8" t="s">
        <v>37</v>
      </c>
      <c r="O52" s="18">
        <v>46090.426261574074</v>
      </c>
      <c r="P52" s="13">
        <v>46090.428472222222</v>
      </c>
      <c r="Q52" s="14">
        <f t="shared" si="0"/>
        <v>3.183333333581686</v>
      </c>
      <c r="R52" s="13">
        <v>46090.428472222222</v>
      </c>
      <c r="S52" s="19">
        <v>46090.437037037038</v>
      </c>
      <c r="T52" s="14">
        <f t="shared" si="1"/>
        <v>12.333333335118368</v>
      </c>
      <c r="U52" s="14">
        <f t="shared" si="2"/>
        <v>15.516666668700054</v>
      </c>
      <c r="V52" s="8" t="s">
        <v>272</v>
      </c>
      <c r="W52" s="16" t="s">
        <v>39</v>
      </c>
      <c r="X52" s="8" t="s">
        <v>66</v>
      </c>
      <c r="Y52" s="8" t="s">
        <v>67</v>
      </c>
      <c r="Z52" s="8" t="s">
        <v>67</v>
      </c>
      <c r="AA52" s="8" t="s">
        <v>43</v>
      </c>
      <c r="AB52" s="8"/>
    </row>
    <row r="53" spans="1:28" ht="28.5" x14ac:dyDescent="0.2">
      <c r="A53" s="8">
        <v>52</v>
      </c>
      <c r="B53" s="15" t="s">
        <v>275</v>
      </c>
      <c r="C53" s="16" t="s">
        <v>28</v>
      </c>
      <c r="D53" s="9">
        <v>46090</v>
      </c>
      <c r="E53" s="15" t="s">
        <v>265</v>
      </c>
      <c r="F53" s="12" t="s">
        <v>184</v>
      </c>
      <c r="G53" s="8" t="s">
        <v>55</v>
      </c>
      <c r="H53" s="11" t="s">
        <v>266</v>
      </c>
      <c r="I53" s="8" t="s">
        <v>33</v>
      </c>
      <c r="J53" s="8" t="s">
        <v>29</v>
      </c>
      <c r="K53" s="8" t="s">
        <v>29</v>
      </c>
      <c r="L53" s="8" t="s">
        <v>267</v>
      </c>
      <c r="M53" s="8" t="s">
        <v>36</v>
      </c>
      <c r="N53" s="8" t="s">
        <v>37</v>
      </c>
      <c r="O53" s="18">
        <v>46090.441481481481</v>
      </c>
      <c r="P53" s="13">
        <v>46090.444444444445</v>
      </c>
      <c r="Q53" s="14">
        <f t="shared" si="0"/>
        <v>4.2666666687000543</v>
      </c>
      <c r="R53" s="19">
        <v>46090.460231481484</v>
      </c>
      <c r="S53" s="19">
        <v>46090.467847222222</v>
      </c>
      <c r="T53" s="14">
        <f t="shared" si="1"/>
        <v>10.966666663298383</v>
      </c>
      <c r="U53" s="14">
        <f t="shared" si="2"/>
        <v>37.966666667489335</v>
      </c>
      <c r="V53" s="12" t="s">
        <v>268</v>
      </c>
      <c r="W53" s="16" t="s">
        <v>39</v>
      </c>
      <c r="X53" s="15" t="s">
        <v>40</v>
      </c>
      <c r="Y53" s="15" t="s">
        <v>41</v>
      </c>
      <c r="Z53" s="8" t="s">
        <v>241</v>
      </c>
      <c r="AA53" s="8" t="s">
        <v>43</v>
      </c>
      <c r="AB53" s="8"/>
    </row>
    <row r="54" spans="1:28" ht="28.5" x14ac:dyDescent="0.2">
      <c r="A54" s="8">
        <v>53</v>
      </c>
      <c r="B54" s="15" t="s">
        <v>276</v>
      </c>
      <c r="C54" s="16" t="s">
        <v>28</v>
      </c>
      <c r="D54" s="9">
        <v>46090</v>
      </c>
      <c r="E54" s="15" t="s">
        <v>265</v>
      </c>
      <c r="F54" s="12" t="s">
        <v>184</v>
      </c>
      <c r="G54" s="8" t="s">
        <v>55</v>
      </c>
      <c r="H54" s="11" t="s">
        <v>266</v>
      </c>
      <c r="I54" s="8" t="s">
        <v>33</v>
      </c>
      <c r="J54" s="8" t="s">
        <v>29</v>
      </c>
      <c r="K54" s="8" t="s">
        <v>29</v>
      </c>
      <c r="L54" s="8" t="s">
        <v>267</v>
      </c>
      <c r="M54" s="8" t="s">
        <v>36</v>
      </c>
      <c r="N54" s="8" t="s">
        <v>37</v>
      </c>
      <c r="O54" s="18">
        <v>46090.509930555556</v>
      </c>
      <c r="P54" s="13">
        <v>46090.512708333335</v>
      </c>
      <c r="Q54" s="14">
        <f t="shared" si="0"/>
        <v>4.0000000025611371</v>
      </c>
      <c r="R54" s="19">
        <v>46090.544652777775</v>
      </c>
      <c r="S54" s="19">
        <v>46090.559861111113</v>
      </c>
      <c r="T54" s="14">
        <f t="shared" si="1"/>
        <v>21.900000006426126</v>
      </c>
      <c r="U54" s="14">
        <f t="shared" si="2"/>
        <v>71.900000001769513</v>
      </c>
      <c r="V54" s="12" t="s">
        <v>277</v>
      </c>
      <c r="W54" s="16" t="s">
        <v>39</v>
      </c>
      <c r="X54" s="15" t="s">
        <v>40</v>
      </c>
      <c r="Y54" s="15" t="s">
        <v>41</v>
      </c>
      <c r="Z54" s="8" t="s">
        <v>241</v>
      </c>
      <c r="AA54" s="8" t="s">
        <v>43</v>
      </c>
      <c r="AB54" s="8"/>
    </row>
    <row r="55" spans="1:28" ht="28.5" x14ac:dyDescent="0.2">
      <c r="A55" s="8">
        <v>54</v>
      </c>
      <c r="B55" s="15" t="s">
        <v>278</v>
      </c>
      <c r="C55" s="16" t="s">
        <v>28</v>
      </c>
      <c r="D55" s="9">
        <v>46090</v>
      </c>
      <c r="E55" s="8" t="s">
        <v>183</v>
      </c>
      <c r="F55" s="12" t="s">
        <v>184</v>
      </c>
      <c r="G55" s="8" t="s">
        <v>55</v>
      </c>
      <c r="H55" s="11" t="s">
        <v>28</v>
      </c>
      <c r="I55" s="8" t="s">
        <v>33</v>
      </c>
      <c r="J55" s="8" t="s">
        <v>29</v>
      </c>
      <c r="K55" s="8" t="s">
        <v>29</v>
      </c>
      <c r="L55" s="8" t="s">
        <v>29</v>
      </c>
      <c r="M55" s="20" t="s">
        <v>29</v>
      </c>
      <c r="N55" s="8" t="s">
        <v>37</v>
      </c>
      <c r="O55" s="18">
        <v>46090.651331018518</v>
      </c>
      <c r="P55" s="18">
        <v>46090.651331018518</v>
      </c>
      <c r="Q55" s="14">
        <f t="shared" si="0"/>
        <v>0</v>
      </c>
      <c r="R55" s="18">
        <v>46090.651331018518</v>
      </c>
      <c r="S55" s="18">
        <v>46090.658912037034</v>
      </c>
      <c r="T55" s="14">
        <f t="shared" si="1"/>
        <v>10.916666662087664</v>
      </c>
      <c r="U55" s="14">
        <f t="shared" si="2"/>
        <v>10.916666662087664</v>
      </c>
      <c r="V55" s="12" t="s">
        <v>279</v>
      </c>
      <c r="W55" s="16" t="s">
        <v>39</v>
      </c>
      <c r="X55" s="8" t="s">
        <v>66</v>
      </c>
      <c r="Y55" s="8" t="s">
        <v>67</v>
      </c>
      <c r="Z55" s="8" t="s">
        <v>67</v>
      </c>
      <c r="AA55" s="8" t="s">
        <v>43</v>
      </c>
      <c r="AB55" s="8"/>
    </row>
    <row r="56" spans="1:28" ht="28.5" x14ac:dyDescent="0.2">
      <c r="A56" s="8">
        <v>55</v>
      </c>
      <c r="B56" s="15" t="s">
        <v>280</v>
      </c>
      <c r="C56" s="16" t="s">
        <v>28</v>
      </c>
      <c r="D56" s="9">
        <v>46091</v>
      </c>
      <c r="E56" s="15" t="s">
        <v>265</v>
      </c>
      <c r="F56" s="12" t="s">
        <v>184</v>
      </c>
      <c r="G56" s="8" t="s">
        <v>55</v>
      </c>
      <c r="H56" s="8" t="s">
        <v>281</v>
      </c>
      <c r="I56" s="12" t="s">
        <v>282</v>
      </c>
      <c r="J56" s="8" t="s">
        <v>29</v>
      </c>
      <c r="K56" s="8" t="s">
        <v>29</v>
      </c>
      <c r="L56" s="8" t="s">
        <v>283</v>
      </c>
      <c r="M56" s="8" t="s">
        <v>284</v>
      </c>
      <c r="N56" s="8" t="s">
        <v>37</v>
      </c>
      <c r="O56" s="18">
        <v>46091.314652777779</v>
      </c>
      <c r="P56" s="18">
        <v>46091.316666666666</v>
      </c>
      <c r="Q56" s="14">
        <f t="shared" si="0"/>
        <v>2.8999999968800694</v>
      </c>
      <c r="R56" s="18">
        <v>46091.347291666665</v>
      </c>
      <c r="S56" s="18">
        <v>46091.383935185186</v>
      </c>
      <c r="T56" s="14">
        <f t="shared" si="1"/>
        <v>52.766666669631377</v>
      </c>
      <c r="U56" s="14">
        <f t="shared" si="2"/>
        <v>99.766666665673256</v>
      </c>
      <c r="V56" s="8" t="s">
        <v>285</v>
      </c>
      <c r="W56" s="16" t="s">
        <v>39</v>
      </c>
      <c r="X56" s="8" t="s">
        <v>66</v>
      </c>
      <c r="Y56" s="8" t="s">
        <v>67</v>
      </c>
      <c r="Z56" s="8" t="s">
        <v>67</v>
      </c>
      <c r="AA56" s="8" t="s">
        <v>43</v>
      </c>
      <c r="AB56" s="8"/>
    </row>
    <row r="57" spans="1:28" ht="28.5" x14ac:dyDescent="0.2">
      <c r="A57" s="8">
        <v>56</v>
      </c>
      <c r="B57" s="15" t="s">
        <v>286</v>
      </c>
      <c r="C57" s="16" t="s">
        <v>28</v>
      </c>
      <c r="D57" s="9">
        <v>46091</v>
      </c>
      <c r="E57" s="15" t="s">
        <v>265</v>
      </c>
      <c r="F57" s="12" t="s">
        <v>184</v>
      </c>
      <c r="G57" s="8" t="s">
        <v>55</v>
      </c>
      <c r="H57" s="11" t="s">
        <v>272</v>
      </c>
      <c r="I57" s="8" t="s">
        <v>287</v>
      </c>
      <c r="J57" s="8" t="s">
        <v>29</v>
      </c>
      <c r="K57" s="8" t="s">
        <v>29</v>
      </c>
      <c r="L57" s="8" t="s">
        <v>288</v>
      </c>
      <c r="M57" s="8" t="s">
        <v>36</v>
      </c>
      <c r="N57" s="8" t="s">
        <v>37</v>
      </c>
      <c r="O57" s="18">
        <v>46091.510196759256</v>
      </c>
      <c r="P57" s="18">
        <v>46091.512499999997</v>
      </c>
      <c r="Q57" s="14">
        <f t="shared" si="0"/>
        <v>3.3166666666511446</v>
      </c>
      <c r="R57" s="18">
        <v>46091.512499999997</v>
      </c>
      <c r="S57" s="18">
        <v>46091.550254629627</v>
      </c>
      <c r="T57" s="14">
        <f t="shared" si="1"/>
        <v>54.36666666646488</v>
      </c>
      <c r="U57" s="14">
        <f t="shared" si="2"/>
        <v>57.683333333116025</v>
      </c>
      <c r="V57" s="12" t="s">
        <v>279</v>
      </c>
      <c r="W57" s="16" t="s">
        <v>39</v>
      </c>
      <c r="X57" s="8" t="s">
        <v>66</v>
      </c>
      <c r="Y57" s="8" t="s">
        <v>67</v>
      </c>
      <c r="Z57" s="8" t="s">
        <v>67</v>
      </c>
      <c r="AA57" s="8" t="s">
        <v>43</v>
      </c>
      <c r="AB57" s="8"/>
    </row>
    <row r="58" spans="1:28" ht="14.25" x14ac:dyDescent="0.2">
      <c r="A58" s="8">
        <v>57</v>
      </c>
      <c r="B58" s="15" t="s">
        <v>289</v>
      </c>
      <c r="C58" s="16" t="s">
        <v>28</v>
      </c>
      <c r="D58" s="9">
        <v>46092</v>
      </c>
      <c r="E58" s="8" t="s">
        <v>290</v>
      </c>
      <c r="F58" s="12" t="s">
        <v>291</v>
      </c>
      <c r="G58" s="8" t="s">
        <v>291</v>
      </c>
      <c r="H58" s="8" t="s">
        <v>292</v>
      </c>
      <c r="I58" s="8" t="s">
        <v>293</v>
      </c>
      <c r="J58" s="8" t="s">
        <v>29</v>
      </c>
      <c r="K58" s="8" t="s">
        <v>29</v>
      </c>
      <c r="L58" s="8" t="s">
        <v>294</v>
      </c>
      <c r="M58" s="8" t="s">
        <v>36</v>
      </c>
      <c r="N58" s="8" t="s">
        <v>37</v>
      </c>
      <c r="O58" s="18">
        <v>46329.168368055558</v>
      </c>
      <c r="P58" s="18">
        <v>46329.16978009259</v>
      </c>
      <c r="Q58" s="14">
        <f t="shared" si="0"/>
        <v>2.033333326689899</v>
      </c>
      <c r="R58" s="18">
        <v>46329.16978009259</v>
      </c>
      <c r="S58" s="18">
        <v>46329.171168981484</v>
      </c>
      <c r="T58" s="14">
        <f t="shared" si="1"/>
        <v>2.000000006519258</v>
      </c>
      <c r="U58" s="14">
        <f t="shared" si="2"/>
        <v>4.033333333209157</v>
      </c>
      <c r="V58" s="8" t="s">
        <v>295</v>
      </c>
      <c r="W58" s="16" t="s">
        <v>39</v>
      </c>
      <c r="X58" s="8" t="s">
        <v>66</v>
      </c>
      <c r="Y58" s="8" t="s">
        <v>67</v>
      </c>
      <c r="Z58" s="8" t="s">
        <v>67</v>
      </c>
      <c r="AA58" s="8" t="s">
        <v>43</v>
      </c>
      <c r="AB58" s="8"/>
    </row>
    <row r="59" spans="1:28" ht="28.5" x14ac:dyDescent="0.2">
      <c r="A59" s="8">
        <v>58</v>
      </c>
      <c r="B59" s="15" t="s">
        <v>296</v>
      </c>
      <c r="C59" s="16" t="s">
        <v>28</v>
      </c>
      <c r="D59" s="9">
        <v>46092</v>
      </c>
      <c r="E59" s="15" t="s">
        <v>265</v>
      </c>
      <c r="F59" s="12" t="s">
        <v>184</v>
      </c>
      <c r="G59" s="8" t="s">
        <v>55</v>
      </c>
      <c r="H59" s="11" t="s">
        <v>266</v>
      </c>
      <c r="I59" s="8" t="s">
        <v>33</v>
      </c>
      <c r="J59" s="8" t="s">
        <v>29</v>
      </c>
      <c r="K59" s="8" t="s">
        <v>29</v>
      </c>
      <c r="L59" s="8" t="s">
        <v>267</v>
      </c>
      <c r="M59" s="8" t="s">
        <v>36</v>
      </c>
      <c r="N59" s="8" t="s">
        <v>37</v>
      </c>
      <c r="O59" s="18">
        <v>46092.311296296299</v>
      </c>
      <c r="P59" s="18">
        <v>46092.315462962964</v>
      </c>
      <c r="Q59" s="14">
        <f t="shared" si="0"/>
        <v>5.9999999986030161</v>
      </c>
      <c r="R59" s="18">
        <v>46092.359907407408</v>
      </c>
      <c r="S59" s="18">
        <v>46092.409872685188</v>
      </c>
      <c r="T59" s="14">
        <f t="shared" si="1"/>
        <v>71.950000002980232</v>
      </c>
      <c r="U59" s="14">
        <f t="shared" si="2"/>
        <v>141.95000000065193</v>
      </c>
      <c r="V59" s="12" t="s">
        <v>297</v>
      </c>
      <c r="W59" s="16" t="s">
        <v>39</v>
      </c>
      <c r="X59" s="15" t="s">
        <v>40</v>
      </c>
      <c r="Y59" s="15" t="s">
        <v>41</v>
      </c>
      <c r="Z59" s="8" t="s">
        <v>241</v>
      </c>
      <c r="AA59" s="8" t="s">
        <v>43</v>
      </c>
      <c r="AB59" s="8"/>
    </row>
    <row r="60" spans="1:28" ht="28.5" x14ac:dyDescent="0.2">
      <c r="A60" s="8">
        <v>59</v>
      </c>
      <c r="B60" s="15" t="s">
        <v>298</v>
      </c>
      <c r="C60" s="16" t="s">
        <v>28</v>
      </c>
      <c r="D60" s="9">
        <v>46092</v>
      </c>
      <c r="E60" s="15" t="s">
        <v>183</v>
      </c>
      <c r="F60" s="12" t="s">
        <v>184</v>
      </c>
      <c r="G60" s="8" t="s">
        <v>55</v>
      </c>
      <c r="H60" s="11" t="s">
        <v>299</v>
      </c>
      <c r="I60" s="8" t="s">
        <v>33</v>
      </c>
      <c r="J60" s="8" t="s">
        <v>29</v>
      </c>
      <c r="K60" s="8" t="s">
        <v>29</v>
      </c>
      <c r="L60" s="8" t="s">
        <v>267</v>
      </c>
      <c r="M60" s="8" t="s">
        <v>36</v>
      </c>
      <c r="N60" s="8" t="s">
        <v>37</v>
      </c>
      <c r="O60" s="18">
        <v>46092.62636574074</v>
      </c>
      <c r="P60" s="18">
        <v>46092.628449074073</v>
      </c>
      <c r="Q60" s="14">
        <f t="shared" si="0"/>
        <v>2.9999999993015081</v>
      </c>
      <c r="R60" s="18">
        <v>46092.65483796296</v>
      </c>
      <c r="S60" s="18">
        <v>46092.676087962966</v>
      </c>
      <c r="T60" s="14">
        <f t="shared" si="1"/>
        <v>30.600000007543713</v>
      </c>
      <c r="U60" s="14">
        <f t="shared" si="2"/>
        <v>71.600000004982576</v>
      </c>
      <c r="V60" s="12" t="s">
        <v>300</v>
      </c>
      <c r="W60" s="16" t="s">
        <v>39</v>
      </c>
      <c r="X60" s="15" t="s">
        <v>40</v>
      </c>
      <c r="Y60" s="15" t="s">
        <v>41</v>
      </c>
      <c r="Z60" s="8" t="s">
        <v>241</v>
      </c>
      <c r="AA60" s="8" t="s">
        <v>43</v>
      </c>
      <c r="AB60" s="8"/>
    </row>
    <row r="61" spans="1:28" ht="28.5" x14ac:dyDescent="0.2">
      <c r="A61" s="8">
        <v>60</v>
      </c>
      <c r="B61" s="15" t="s">
        <v>301</v>
      </c>
      <c r="C61" s="16" t="s">
        <v>28</v>
      </c>
      <c r="D61" s="9">
        <v>46093</v>
      </c>
      <c r="E61" s="15" t="s">
        <v>183</v>
      </c>
      <c r="F61" s="12" t="s">
        <v>184</v>
      </c>
      <c r="G61" s="8" t="s">
        <v>55</v>
      </c>
      <c r="H61" s="11" t="s">
        <v>302</v>
      </c>
      <c r="I61" s="8" t="s">
        <v>33</v>
      </c>
      <c r="J61" s="8" t="s">
        <v>29</v>
      </c>
      <c r="K61" s="8" t="s">
        <v>29</v>
      </c>
      <c r="L61" s="8" t="s">
        <v>267</v>
      </c>
      <c r="M61" s="8" t="s">
        <v>36</v>
      </c>
      <c r="N61" s="8" t="s">
        <v>37</v>
      </c>
      <c r="O61" s="18">
        <v>46093.387916666667</v>
      </c>
      <c r="P61" s="18">
        <v>46093.389305555553</v>
      </c>
      <c r="Q61" s="14">
        <f t="shared" si="0"/>
        <v>1.9999999960418791</v>
      </c>
      <c r="R61" s="18">
        <v>46093.414305555554</v>
      </c>
      <c r="S61" s="18">
        <v>46093.451296296298</v>
      </c>
      <c r="T61" s="14">
        <f t="shared" si="1"/>
        <v>53.266666671261191</v>
      </c>
      <c r="U61" s="14">
        <f t="shared" si="2"/>
        <v>91.266666669398546</v>
      </c>
      <c r="V61" s="12" t="s">
        <v>303</v>
      </c>
      <c r="W61" s="16" t="s">
        <v>39</v>
      </c>
      <c r="X61" s="15" t="s">
        <v>40</v>
      </c>
      <c r="Y61" s="15" t="s">
        <v>41</v>
      </c>
      <c r="Z61" s="8" t="s">
        <v>241</v>
      </c>
      <c r="AA61" s="8" t="s">
        <v>43</v>
      </c>
      <c r="AB61" s="8"/>
    </row>
    <row r="62" spans="1:28" ht="28.5" x14ac:dyDescent="0.2">
      <c r="A62" s="8">
        <v>61</v>
      </c>
      <c r="B62" s="15" t="s">
        <v>304</v>
      </c>
      <c r="C62" s="16" t="s">
        <v>28</v>
      </c>
      <c r="D62" s="9">
        <v>46093</v>
      </c>
      <c r="E62" s="15" t="s">
        <v>183</v>
      </c>
      <c r="F62" s="12" t="s">
        <v>184</v>
      </c>
      <c r="G62" s="8" t="s">
        <v>55</v>
      </c>
      <c r="H62" s="11" t="s">
        <v>28</v>
      </c>
      <c r="I62" s="8" t="s">
        <v>305</v>
      </c>
      <c r="J62" s="8" t="s">
        <v>29</v>
      </c>
      <c r="K62" s="8" t="s">
        <v>29</v>
      </c>
      <c r="L62" s="8" t="s">
        <v>306</v>
      </c>
      <c r="M62" s="8" t="s">
        <v>29</v>
      </c>
      <c r="N62" s="8" t="s">
        <v>37</v>
      </c>
      <c r="O62" s="18">
        <v>46093.452962962961</v>
      </c>
      <c r="P62" s="18">
        <v>46093.453657407408</v>
      </c>
      <c r="Q62" s="14">
        <f t="shared" si="0"/>
        <v>1.000000003259629</v>
      </c>
      <c r="R62" s="18">
        <v>46093.453657407408</v>
      </c>
      <c r="S62" s="18">
        <v>46093.484988425924</v>
      </c>
      <c r="T62" s="14">
        <f t="shared" si="1"/>
        <v>45.116666662506759</v>
      </c>
      <c r="U62" s="14">
        <f t="shared" si="2"/>
        <v>46.116666665766388</v>
      </c>
      <c r="V62" s="12" t="s">
        <v>279</v>
      </c>
      <c r="W62" s="16" t="s">
        <v>39</v>
      </c>
      <c r="X62" s="8" t="s">
        <v>66</v>
      </c>
      <c r="Y62" s="8" t="s">
        <v>67</v>
      </c>
      <c r="Z62" s="8" t="s">
        <v>67</v>
      </c>
      <c r="AA62" s="8" t="s">
        <v>43</v>
      </c>
      <c r="AB62" s="8"/>
    </row>
    <row r="63" spans="1:28" ht="14.25" x14ac:dyDescent="0.2">
      <c r="A63" s="8">
        <v>62</v>
      </c>
      <c r="B63" s="15" t="s">
        <v>307</v>
      </c>
      <c r="C63" s="16" t="s">
        <v>28</v>
      </c>
      <c r="D63" s="9">
        <v>46094</v>
      </c>
      <c r="E63" s="15" t="s">
        <v>183</v>
      </c>
      <c r="F63" s="12" t="s">
        <v>60</v>
      </c>
      <c r="G63" s="8" t="s">
        <v>60</v>
      </c>
      <c r="H63" s="11" t="s">
        <v>308</v>
      </c>
      <c r="I63" s="8" t="s">
        <v>309</v>
      </c>
      <c r="J63" s="8" t="s">
        <v>29</v>
      </c>
      <c r="K63" s="8" t="s">
        <v>29</v>
      </c>
      <c r="L63" s="8" t="s">
        <v>310</v>
      </c>
      <c r="M63" s="8" t="s">
        <v>29</v>
      </c>
      <c r="N63" s="8" t="s">
        <v>37</v>
      </c>
      <c r="O63" s="18">
        <v>46094.452685185184</v>
      </c>
      <c r="P63" s="18">
        <v>46094.456157407411</v>
      </c>
      <c r="Q63" s="14">
        <f t="shared" si="0"/>
        <v>5.0000000058207661</v>
      </c>
      <c r="R63" s="18">
        <v>46094.458240740743</v>
      </c>
      <c r="S63" s="18">
        <v>46094.466307870367</v>
      </c>
      <c r="T63" s="14">
        <f t="shared" si="1"/>
        <v>11.616666658082977</v>
      </c>
      <c r="U63" s="14">
        <f t="shared" si="2"/>
        <v>19.616666663205251</v>
      </c>
      <c r="V63" s="12" t="s">
        <v>311</v>
      </c>
      <c r="W63" s="16" t="s">
        <v>39</v>
      </c>
      <c r="X63" s="8" t="s">
        <v>66</v>
      </c>
      <c r="Y63" s="8" t="s">
        <v>67</v>
      </c>
      <c r="Z63" s="8" t="s">
        <v>67</v>
      </c>
      <c r="AA63" s="8" t="s">
        <v>43</v>
      </c>
      <c r="AB63" s="8"/>
    </row>
    <row r="64" spans="1:28" ht="28.5" x14ac:dyDescent="0.2">
      <c r="A64" s="8">
        <v>63</v>
      </c>
      <c r="B64" s="15" t="s">
        <v>312</v>
      </c>
      <c r="C64" s="16" t="s">
        <v>28</v>
      </c>
      <c r="D64" s="9">
        <v>46096</v>
      </c>
      <c r="E64" s="8" t="s">
        <v>290</v>
      </c>
      <c r="F64" s="12" t="s">
        <v>184</v>
      </c>
      <c r="G64" s="8" t="s">
        <v>313</v>
      </c>
      <c r="H64" s="11" t="s">
        <v>314</v>
      </c>
      <c r="I64" s="8" t="s">
        <v>315</v>
      </c>
      <c r="J64" s="8" t="s">
        <v>29</v>
      </c>
      <c r="K64" s="8" t="s">
        <v>29</v>
      </c>
      <c r="L64" s="8" t="s">
        <v>316</v>
      </c>
      <c r="M64" s="8" t="s">
        <v>29</v>
      </c>
      <c r="N64" s="8" t="s">
        <v>37</v>
      </c>
      <c r="O64" s="13">
        <v>46096.142071759263</v>
      </c>
      <c r="P64" s="13">
        <v>46096.142766203702</v>
      </c>
      <c r="Q64" s="14">
        <f t="shared" si="0"/>
        <v>0.99999999278225005</v>
      </c>
      <c r="R64" s="13">
        <v>46096.142766203702</v>
      </c>
      <c r="S64" s="13">
        <v>46096.146238425928</v>
      </c>
      <c r="T64" s="14">
        <f t="shared" si="1"/>
        <v>5.0000000058207661</v>
      </c>
      <c r="U64" s="14">
        <f t="shared" si="2"/>
        <v>5.9999999986030161</v>
      </c>
      <c r="V64" s="11" t="s">
        <v>317</v>
      </c>
      <c r="W64" s="16" t="s">
        <v>39</v>
      </c>
      <c r="X64" s="8" t="s">
        <v>66</v>
      </c>
      <c r="Y64" s="8" t="s">
        <v>67</v>
      </c>
      <c r="Z64" s="8" t="s">
        <v>67</v>
      </c>
      <c r="AA64" s="8" t="s">
        <v>318</v>
      </c>
      <c r="AB64" s="8"/>
    </row>
    <row r="65" spans="1:28" ht="28.5" x14ac:dyDescent="0.2">
      <c r="A65" s="8">
        <v>64</v>
      </c>
      <c r="B65" s="15" t="s">
        <v>319</v>
      </c>
      <c r="C65" s="16" t="s">
        <v>28</v>
      </c>
      <c r="D65" s="9">
        <v>46098</v>
      </c>
      <c r="E65" s="15" t="s">
        <v>183</v>
      </c>
      <c r="F65" s="12" t="s">
        <v>184</v>
      </c>
      <c r="G65" s="8" t="s">
        <v>313</v>
      </c>
      <c r="H65" s="11" t="s">
        <v>320</v>
      </c>
      <c r="I65" s="8" t="s">
        <v>321</v>
      </c>
      <c r="J65" s="8" t="s">
        <v>29</v>
      </c>
      <c r="K65" s="8" t="s">
        <v>29</v>
      </c>
      <c r="L65" s="8" t="s">
        <v>322</v>
      </c>
      <c r="M65" s="8" t="s">
        <v>29</v>
      </c>
      <c r="N65" s="8" t="s">
        <v>37</v>
      </c>
      <c r="O65" s="18">
        <v>46098.416261574072</v>
      </c>
      <c r="P65" s="18">
        <v>46098.417650462965</v>
      </c>
      <c r="Q65" s="14">
        <f t="shared" si="0"/>
        <v>2.000000006519258</v>
      </c>
      <c r="R65" s="18">
        <v>46098.417650462965</v>
      </c>
      <c r="S65" s="18">
        <v>46098.450486111113</v>
      </c>
      <c r="T65" s="14">
        <f t="shared" si="1"/>
        <v>47.283333332743496</v>
      </c>
      <c r="U65" s="14">
        <f t="shared" si="2"/>
        <v>49.283333339262754</v>
      </c>
      <c r="V65" s="12" t="s">
        <v>323</v>
      </c>
      <c r="W65" s="16" t="s">
        <v>39</v>
      </c>
      <c r="X65" s="15" t="s">
        <v>40</v>
      </c>
      <c r="Y65" s="15" t="s">
        <v>41</v>
      </c>
      <c r="Z65" s="15" t="s">
        <v>42</v>
      </c>
      <c r="AA65" s="8" t="s">
        <v>43</v>
      </c>
      <c r="AB65" s="8"/>
    </row>
    <row r="66" spans="1:28" ht="28.5" x14ac:dyDescent="0.2">
      <c r="A66" s="8">
        <v>65</v>
      </c>
      <c r="B66" s="15" t="s">
        <v>324</v>
      </c>
      <c r="C66" s="16" t="s">
        <v>28</v>
      </c>
      <c r="D66" s="9">
        <v>46099</v>
      </c>
      <c r="E66" s="15" t="s">
        <v>254</v>
      </c>
      <c r="F66" s="12" t="s">
        <v>184</v>
      </c>
      <c r="G66" s="8" t="s">
        <v>313</v>
      </c>
      <c r="H66" s="11" t="s">
        <v>314</v>
      </c>
      <c r="I66" s="8" t="s">
        <v>325</v>
      </c>
      <c r="J66" s="8" t="s">
        <v>29</v>
      </c>
      <c r="K66" s="8" t="s">
        <v>29</v>
      </c>
      <c r="L66" s="8" t="s">
        <v>326</v>
      </c>
      <c r="M66" s="8" t="s">
        <v>29</v>
      </c>
      <c r="N66" s="8" t="s">
        <v>37</v>
      </c>
      <c r="O66" s="18">
        <v>46099.416134259256</v>
      </c>
      <c r="P66" s="18">
        <v>46099.41982638889</v>
      </c>
      <c r="Q66" s="14">
        <f t="shared" si="0"/>
        <v>5.3166666731704026</v>
      </c>
      <c r="R66" s="18">
        <v>46099.41982638889</v>
      </c>
      <c r="S66" s="18">
        <v>46099.423298611109</v>
      </c>
      <c r="T66" s="14">
        <f t="shared" si="1"/>
        <v>4.9999999953433871</v>
      </c>
      <c r="U66" s="14">
        <f t="shared" si="2"/>
        <v>10.31666666851379</v>
      </c>
      <c r="V66" s="11" t="s">
        <v>317</v>
      </c>
      <c r="W66" s="16" t="s">
        <v>39</v>
      </c>
      <c r="X66" s="15" t="s">
        <v>40</v>
      </c>
      <c r="Y66" s="15" t="s">
        <v>41</v>
      </c>
      <c r="Z66" s="15" t="s">
        <v>42</v>
      </c>
      <c r="AA66" s="8" t="s">
        <v>43</v>
      </c>
      <c r="AB66" s="8"/>
    </row>
    <row r="67" spans="1:28" ht="14.25" x14ac:dyDescent="0.2">
      <c r="A67" s="8">
        <v>66</v>
      </c>
      <c r="B67" s="15" t="s">
        <v>327</v>
      </c>
      <c r="C67" s="16" t="s">
        <v>28</v>
      </c>
      <c r="D67" s="9">
        <v>46100</v>
      </c>
      <c r="E67" s="15" t="s">
        <v>254</v>
      </c>
      <c r="F67" s="12" t="s">
        <v>328</v>
      </c>
      <c r="G67" s="8" t="s">
        <v>329</v>
      </c>
      <c r="H67" s="11" t="s">
        <v>330</v>
      </c>
      <c r="I67" s="8" t="s">
        <v>229</v>
      </c>
      <c r="J67" s="8" t="s">
        <v>29</v>
      </c>
      <c r="K67" s="8" t="s">
        <v>29</v>
      </c>
      <c r="L67" s="8" t="s">
        <v>331</v>
      </c>
      <c r="M67" s="8" t="s">
        <v>36</v>
      </c>
      <c r="N67" s="8" t="s">
        <v>37</v>
      </c>
      <c r="O67" s="18">
        <v>46100.62327546296</v>
      </c>
      <c r="P67" s="18">
        <v>46100.624305555553</v>
      </c>
      <c r="Q67" s="14">
        <f t="shared" si="0"/>
        <v>1.4833333343267441</v>
      </c>
      <c r="R67" s="18">
        <v>46100.63958333333</v>
      </c>
      <c r="S67" s="18">
        <v>46100.673125000001</v>
      </c>
      <c r="T67" s="14">
        <f t="shared" si="1"/>
        <v>48.300000006565824</v>
      </c>
      <c r="U67" s="14">
        <f t="shared" si="2"/>
        <v>71.783333339262754</v>
      </c>
      <c r="V67" s="8" t="s">
        <v>295</v>
      </c>
      <c r="W67" s="16" t="s">
        <v>39</v>
      </c>
      <c r="X67" s="8" t="s">
        <v>66</v>
      </c>
      <c r="Y67" s="8" t="s">
        <v>67</v>
      </c>
      <c r="Z67" s="8" t="s">
        <v>67</v>
      </c>
      <c r="AA67" s="8" t="s">
        <v>318</v>
      </c>
      <c r="AB67" s="8"/>
    </row>
    <row r="68" spans="1:28" ht="28.5" x14ac:dyDescent="0.2">
      <c r="A68" s="8">
        <v>67</v>
      </c>
      <c r="B68" s="21" t="s">
        <v>332</v>
      </c>
      <c r="C68" s="16" t="s">
        <v>28</v>
      </c>
      <c r="D68" s="9">
        <v>46101</v>
      </c>
      <c r="E68" s="15" t="s">
        <v>333</v>
      </c>
      <c r="F68" s="12" t="s">
        <v>184</v>
      </c>
      <c r="G68" s="8" t="s">
        <v>313</v>
      </c>
      <c r="H68" s="11" t="s">
        <v>334</v>
      </c>
      <c r="I68" s="8" t="s">
        <v>335</v>
      </c>
      <c r="J68" s="8" t="s">
        <v>29</v>
      </c>
      <c r="K68" s="8" t="s">
        <v>29</v>
      </c>
      <c r="L68" s="8" t="s">
        <v>336</v>
      </c>
      <c r="M68" s="8" t="s">
        <v>107</v>
      </c>
      <c r="N68" s="8" t="s">
        <v>37</v>
      </c>
      <c r="O68" s="18">
        <v>46101.380879629629</v>
      </c>
      <c r="P68" s="18">
        <v>46101.383043981485</v>
      </c>
      <c r="Q68" s="14">
        <f t="shared" si="0"/>
        <v>3.1166666722856462</v>
      </c>
      <c r="R68" s="18">
        <v>46101.396238425928</v>
      </c>
      <c r="S68" s="18">
        <v>46101.575370370374</v>
      </c>
      <c r="T68" s="14">
        <f t="shared" si="1"/>
        <v>257.95000000158325</v>
      </c>
      <c r="U68" s="14">
        <f t="shared" si="2"/>
        <v>280.06666667293757</v>
      </c>
      <c r="V68" s="12" t="s">
        <v>337</v>
      </c>
      <c r="W68" s="16" t="s">
        <v>39</v>
      </c>
      <c r="X68" s="15" t="s">
        <v>40</v>
      </c>
      <c r="Y68" s="15" t="s">
        <v>41</v>
      </c>
      <c r="Z68" s="15" t="s">
        <v>338</v>
      </c>
      <c r="AA68" s="8" t="s">
        <v>43</v>
      </c>
      <c r="AB68" s="8"/>
    </row>
    <row r="69" spans="1:28" ht="28.5" x14ac:dyDescent="0.2">
      <c r="A69" s="8">
        <v>68</v>
      </c>
      <c r="B69" s="21" t="s">
        <v>339</v>
      </c>
      <c r="C69" s="16" t="s">
        <v>28</v>
      </c>
      <c r="D69" s="9">
        <v>46102</v>
      </c>
      <c r="E69" s="15" t="s">
        <v>340</v>
      </c>
      <c r="F69" s="12" t="s">
        <v>184</v>
      </c>
      <c r="G69" s="8" t="s">
        <v>313</v>
      </c>
      <c r="H69" s="11" t="s">
        <v>334</v>
      </c>
      <c r="I69" s="8" t="s">
        <v>341</v>
      </c>
      <c r="J69" s="8" t="s">
        <v>29</v>
      </c>
      <c r="K69" s="8" t="s">
        <v>29</v>
      </c>
      <c r="L69" s="8" t="s">
        <v>336</v>
      </c>
      <c r="M69" s="8" t="s">
        <v>107</v>
      </c>
      <c r="N69" s="8" t="s">
        <v>37</v>
      </c>
      <c r="O69" s="18">
        <v>46102.320648148147</v>
      </c>
      <c r="P69" s="18">
        <v>46102.323287037034</v>
      </c>
      <c r="Q69" s="14">
        <f t="shared" si="0"/>
        <v>3.7999999977182597</v>
      </c>
      <c r="R69" s="18">
        <v>46102.350821759261</v>
      </c>
      <c r="S69" s="18">
        <v>46102.750381944446</v>
      </c>
      <c r="T69" s="14">
        <f t="shared" si="1"/>
        <v>575.3666666673962</v>
      </c>
      <c r="U69" s="14">
        <f t="shared" si="2"/>
        <v>618.81666667177342</v>
      </c>
      <c r="V69" s="12" t="s">
        <v>337</v>
      </c>
      <c r="W69" s="16" t="s">
        <v>39</v>
      </c>
      <c r="X69" s="15" t="s">
        <v>40</v>
      </c>
      <c r="Y69" s="15" t="s">
        <v>41</v>
      </c>
      <c r="Z69" s="15" t="s">
        <v>338</v>
      </c>
      <c r="AA69" s="8" t="s">
        <v>43</v>
      </c>
      <c r="AB69" s="8"/>
    </row>
    <row r="70" spans="1:28" ht="14.25" x14ac:dyDescent="0.2">
      <c r="A70" s="8">
        <v>69</v>
      </c>
      <c r="B70" s="15" t="s">
        <v>342</v>
      </c>
      <c r="C70" s="16" t="s">
        <v>28</v>
      </c>
      <c r="D70" s="9">
        <v>46102</v>
      </c>
      <c r="E70" s="15" t="s">
        <v>290</v>
      </c>
      <c r="F70" s="12" t="s">
        <v>60</v>
      </c>
      <c r="G70" s="8" t="s">
        <v>343</v>
      </c>
      <c r="H70" s="11" t="s">
        <v>344</v>
      </c>
      <c r="I70" s="8" t="s">
        <v>345</v>
      </c>
      <c r="J70" s="8"/>
      <c r="K70" s="8"/>
      <c r="L70" s="8"/>
      <c r="M70" s="8" t="s">
        <v>36</v>
      </c>
      <c r="N70" s="8" t="s">
        <v>346</v>
      </c>
      <c r="O70" s="18">
        <v>46102.540879629632</v>
      </c>
      <c r="P70" s="18">
        <v>46102.540879629632</v>
      </c>
      <c r="Q70" s="14">
        <f t="shared" si="0"/>
        <v>0</v>
      </c>
      <c r="R70" s="18">
        <v>46102.540879629632</v>
      </c>
      <c r="S70" s="18">
        <v>46102.545081018521</v>
      </c>
      <c r="T70" s="14">
        <f t="shared" si="1"/>
        <v>6.0499999998137355</v>
      </c>
      <c r="U70" s="14">
        <f t="shared" si="2"/>
        <v>6.0499999998137355</v>
      </c>
      <c r="V70" s="12" t="s">
        <v>347</v>
      </c>
      <c r="W70" s="16" t="s">
        <v>39</v>
      </c>
      <c r="X70" s="8" t="s">
        <v>66</v>
      </c>
      <c r="Y70" s="8" t="s">
        <v>67</v>
      </c>
      <c r="Z70" s="8" t="s">
        <v>67</v>
      </c>
      <c r="AA70" s="8" t="s">
        <v>43</v>
      </c>
      <c r="AB70" s="8"/>
    </row>
    <row r="71" spans="1:28" ht="14.25" x14ac:dyDescent="0.2">
      <c r="A71" s="8">
        <v>70</v>
      </c>
      <c r="B71" s="15" t="s">
        <v>348</v>
      </c>
      <c r="C71" s="16" t="s">
        <v>28</v>
      </c>
      <c r="D71" s="9">
        <v>46102</v>
      </c>
      <c r="E71" s="15" t="s">
        <v>333</v>
      </c>
      <c r="F71" s="12" t="s">
        <v>60</v>
      </c>
      <c r="G71" s="8" t="s">
        <v>349</v>
      </c>
      <c r="H71" s="11" t="s">
        <v>344</v>
      </c>
      <c r="I71" s="8" t="s">
        <v>321</v>
      </c>
      <c r="J71" s="8"/>
      <c r="K71" s="8"/>
      <c r="L71" s="8"/>
      <c r="M71" s="8" t="s">
        <v>36</v>
      </c>
      <c r="N71" s="8" t="s">
        <v>346</v>
      </c>
      <c r="O71" s="18">
        <v>46102.809490740743</v>
      </c>
      <c r="P71" s="18">
        <v>46102.809490740743</v>
      </c>
      <c r="Q71" s="14">
        <f t="shared" si="0"/>
        <v>0</v>
      </c>
      <c r="R71" s="18">
        <v>46102.809490740743</v>
      </c>
      <c r="S71" s="18">
        <v>46102.812210648146</v>
      </c>
      <c r="T71" s="14">
        <f t="shared" si="1"/>
        <v>3.9166666602250189</v>
      </c>
      <c r="U71" s="14">
        <f t="shared" si="2"/>
        <v>3.9166666602250189</v>
      </c>
      <c r="V71" s="12" t="s">
        <v>347</v>
      </c>
      <c r="W71" s="16" t="s">
        <v>39</v>
      </c>
      <c r="X71" s="8" t="s">
        <v>66</v>
      </c>
      <c r="Y71" s="8" t="s">
        <v>67</v>
      </c>
      <c r="Z71" s="8" t="s">
        <v>67</v>
      </c>
      <c r="AA71" s="8" t="s">
        <v>43</v>
      </c>
      <c r="AB71" s="8"/>
    </row>
    <row r="72" spans="1:28" ht="28.5" x14ac:dyDescent="0.2">
      <c r="A72" s="8">
        <v>71</v>
      </c>
      <c r="B72" s="15" t="s">
        <v>350</v>
      </c>
      <c r="C72" s="16" t="s">
        <v>28</v>
      </c>
      <c r="D72" s="9">
        <v>46102</v>
      </c>
      <c r="E72" s="15" t="s">
        <v>333</v>
      </c>
      <c r="F72" s="12" t="s">
        <v>184</v>
      </c>
      <c r="G72" s="8" t="s">
        <v>313</v>
      </c>
      <c r="H72" s="11" t="s">
        <v>351</v>
      </c>
      <c r="I72" s="8" t="s">
        <v>335</v>
      </c>
      <c r="J72" s="8"/>
      <c r="K72" s="8"/>
      <c r="L72" s="8" t="s">
        <v>336</v>
      </c>
      <c r="M72" s="8" t="s">
        <v>36</v>
      </c>
      <c r="N72" s="8" t="s">
        <v>37</v>
      </c>
      <c r="O72" s="18">
        <v>46102.861956018518</v>
      </c>
      <c r="P72" s="18">
        <v>46102.863344907404</v>
      </c>
      <c r="Q72" s="14">
        <f t="shared" si="0"/>
        <v>1.9999999960418791</v>
      </c>
      <c r="R72" s="18">
        <v>46102.869560185187</v>
      </c>
      <c r="S72" s="18">
        <v>46102.872581018521</v>
      </c>
      <c r="T72" s="14">
        <f t="shared" si="1"/>
        <v>4.3500000005587935</v>
      </c>
      <c r="U72" s="14">
        <f t="shared" si="2"/>
        <v>15.300000003771856</v>
      </c>
      <c r="V72" s="12" t="s">
        <v>352</v>
      </c>
      <c r="W72" s="16" t="s">
        <v>39</v>
      </c>
      <c r="X72" s="15" t="s">
        <v>40</v>
      </c>
      <c r="Y72" s="8" t="s">
        <v>67</v>
      </c>
      <c r="Z72" s="15" t="s">
        <v>42</v>
      </c>
      <c r="AA72" s="8" t="s">
        <v>43</v>
      </c>
      <c r="AB72" s="8"/>
    </row>
    <row r="73" spans="1:28" ht="14.25" x14ac:dyDescent="0.2">
      <c r="A73" s="8">
        <v>72</v>
      </c>
      <c r="B73" s="15" t="s">
        <v>353</v>
      </c>
      <c r="C73" s="16" t="s">
        <v>28</v>
      </c>
      <c r="D73" s="9">
        <v>46102</v>
      </c>
      <c r="E73" s="15" t="s">
        <v>333</v>
      </c>
      <c r="F73" s="12" t="s">
        <v>60</v>
      </c>
      <c r="G73" s="8" t="s">
        <v>349</v>
      </c>
      <c r="H73" s="11" t="s">
        <v>344</v>
      </c>
      <c r="I73" s="8" t="s">
        <v>142</v>
      </c>
      <c r="J73" s="8"/>
      <c r="K73" s="8"/>
      <c r="L73" s="8"/>
      <c r="M73" s="8" t="s">
        <v>36</v>
      </c>
      <c r="N73" s="8" t="s">
        <v>346</v>
      </c>
      <c r="O73" s="18">
        <v>46102.869675925926</v>
      </c>
      <c r="P73" s="18">
        <v>46102.869675925926</v>
      </c>
      <c r="Q73" s="14">
        <f t="shared" si="0"/>
        <v>0</v>
      </c>
      <c r="R73" s="18">
        <v>46102.870370370372</v>
      </c>
      <c r="S73" s="18">
        <v>46102.875289351854</v>
      </c>
      <c r="T73" s="14">
        <f t="shared" si="1"/>
        <v>7.0833333337213844</v>
      </c>
      <c r="U73" s="14">
        <f t="shared" si="2"/>
        <v>8.0833333369810134</v>
      </c>
      <c r="V73" s="12" t="s">
        <v>354</v>
      </c>
      <c r="W73" s="16" t="s">
        <v>39</v>
      </c>
      <c r="X73" s="8" t="s">
        <v>66</v>
      </c>
      <c r="Y73" s="8" t="s">
        <v>67</v>
      </c>
      <c r="Z73" s="8" t="s">
        <v>67</v>
      </c>
      <c r="AA73" s="8" t="s">
        <v>43</v>
      </c>
      <c r="AB73" s="8"/>
    </row>
    <row r="74" spans="1:28" ht="28.5" x14ac:dyDescent="0.2">
      <c r="A74" s="8">
        <v>73</v>
      </c>
      <c r="B74" s="21" t="s">
        <v>355</v>
      </c>
      <c r="C74" s="16" t="s">
        <v>28</v>
      </c>
      <c r="D74" s="9">
        <v>46102</v>
      </c>
      <c r="E74" s="15" t="s">
        <v>356</v>
      </c>
      <c r="F74" s="12" t="s">
        <v>184</v>
      </c>
      <c r="G74" s="8" t="s">
        <v>313</v>
      </c>
      <c r="H74" s="11" t="s">
        <v>357</v>
      </c>
      <c r="I74" s="8" t="s">
        <v>358</v>
      </c>
      <c r="J74" s="8" t="s">
        <v>29</v>
      </c>
      <c r="K74" s="8" t="s">
        <v>29</v>
      </c>
      <c r="L74" s="8" t="s">
        <v>359</v>
      </c>
      <c r="M74" s="8" t="s">
        <v>107</v>
      </c>
      <c r="N74" s="8" t="s">
        <v>37</v>
      </c>
      <c r="O74" s="18">
        <v>46102.897685185184</v>
      </c>
      <c r="P74" s="18">
        <v>46102.900057870371</v>
      </c>
      <c r="Q74" s="14">
        <f t="shared" si="0"/>
        <v>3.4166666690725833</v>
      </c>
      <c r="R74" s="18">
        <v>46102.958472222221</v>
      </c>
      <c r="S74" s="18">
        <v>46102.980555555558</v>
      </c>
      <c r="T74" s="14">
        <f t="shared" si="1"/>
        <v>31.80000000516884</v>
      </c>
      <c r="U74" s="14">
        <f t="shared" si="2"/>
        <v>119.33333333814517</v>
      </c>
      <c r="V74" s="12" t="s">
        <v>360</v>
      </c>
      <c r="W74" s="16" t="s">
        <v>39</v>
      </c>
      <c r="X74" s="8" t="s">
        <v>66</v>
      </c>
      <c r="Y74" s="8" t="s">
        <v>67</v>
      </c>
      <c r="Z74" s="8" t="s">
        <v>67</v>
      </c>
      <c r="AA74" s="8" t="s">
        <v>43</v>
      </c>
      <c r="AB74" s="8"/>
    </row>
    <row r="75" spans="1:28" ht="28.5" x14ac:dyDescent="0.2">
      <c r="A75" s="8">
        <v>74</v>
      </c>
      <c r="B75" s="21" t="s">
        <v>361</v>
      </c>
      <c r="C75" s="16" t="s">
        <v>28</v>
      </c>
      <c r="D75" s="9">
        <v>46104</v>
      </c>
      <c r="E75" s="8" t="s">
        <v>265</v>
      </c>
      <c r="F75" s="12" t="s">
        <v>184</v>
      </c>
      <c r="G75" s="8" t="s">
        <v>313</v>
      </c>
      <c r="H75" s="8" t="s">
        <v>362</v>
      </c>
      <c r="I75" s="8" t="s">
        <v>363</v>
      </c>
      <c r="J75" s="8" t="s">
        <v>29</v>
      </c>
      <c r="K75" s="8" t="s">
        <v>364</v>
      </c>
      <c r="L75" s="8" t="s">
        <v>365</v>
      </c>
      <c r="M75" s="8" t="s">
        <v>107</v>
      </c>
      <c r="N75" s="8" t="s">
        <v>37</v>
      </c>
      <c r="O75" s="18">
        <v>46104.058159722219</v>
      </c>
      <c r="P75" s="18">
        <v>46104.063194444447</v>
      </c>
      <c r="Q75" s="14">
        <f t="shared" si="0"/>
        <v>7.2500000079162419</v>
      </c>
      <c r="R75" s="18">
        <v>46104.058159722219</v>
      </c>
      <c r="S75" s="18">
        <v>46104.235335648147</v>
      </c>
      <c r="T75" s="14">
        <f t="shared" si="1"/>
        <v>255.13333333656192</v>
      </c>
      <c r="U75" s="14">
        <f t="shared" si="2"/>
        <v>255.13333333656192</v>
      </c>
      <c r="V75" s="12" t="s">
        <v>366</v>
      </c>
      <c r="W75" s="16" t="s">
        <v>39</v>
      </c>
      <c r="X75" s="10" t="s">
        <v>40</v>
      </c>
      <c r="Y75" s="10" t="s">
        <v>41</v>
      </c>
      <c r="Z75" s="21" t="s">
        <v>42</v>
      </c>
      <c r="AA75" s="8" t="s">
        <v>43</v>
      </c>
      <c r="AB75" s="8" t="s">
        <v>367</v>
      </c>
    </row>
    <row r="76" spans="1:28" ht="28.5" x14ac:dyDescent="0.2">
      <c r="A76" s="8">
        <v>75</v>
      </c>
      <c r="B76" s="21" t="s">
        <v>368</v>
      </c>
      <c r="C76" s="16" t="s">
        <v>28</v>
      </c>
      <c r="D76" s="9">
        <v>46104</v>
      </c>
      <c r="E76" s="8" t="s">
        <v>265</v>
      </c>
      <c r="F76" s="12" t="s">
        <v>184</v>
      </c>
      <c r="G76" s="8" t="s">
        <v>313</v>
      </c>
      <c r="H76" s="11" t="s">
        <v>369</v>
      </c>
      <c r="I76" s="8" t="s">
        <v>370</v>
      </c>
      <c r="J76" s="8" t="s">
        <v>29</v>
      </c>
      <c r="K76" s="8" t="s">
        <v>29</v>
      </c>
      <c r="L76" s="8" t="s">
        <v>371</v>
      </c>
      <c r="M76" s="8" t="s">
        <v>107</v>
      </c>
      <c r="N76" s="8" t="s">
        <v>37</v>
      </c>
      <c r="O76" s="18">
        <v>46104.090775462966</v>
      </c>
      <c r="P76" s="18">
        <v>46104.095150462963</v>
      </c>
      <c r="Q76" s="14">
        <f t="shared" si="0"/>
        <v>6.2999999953899533</v>
      </c>
      <c r="R76" s="18">
        <v>46104.182766203703</v>
      </c>
      <c r="S76" s="18">
        <v>46104.185972222222</v>
      </c>
      <c r="T76" s="14">
        <f t="shared" si="1"/>
        <v>4.6166666666977108</v>
      </c>
      <c r="U76" s="14">
        <f t="shared" si="2"/>
        <v>137.08333332790062</v>
      </c>
      <c r="V76" s="8" t="s">
        <v>372</v>
      </c>
      <c r="W76" s="16" t="s">
        <v>39</v>
      </c>
      <c r="X76" s="10" t="s">
        <v>40</v>
      </c>
      <c r="Y76" s="10" t="s">
        <v>373</v>
      </c>
      <c r="Z76" s="10" t="s">
        <v>374</v>
      </c>
      <c r="AA76" s="8" t="s">
        <v>43</v>
      </c>
      <c r="AB76" s="8"/>
    </row>
    <row r="77" spans="1:28" ht="28.5" x14ac:dyDescent="0.2">
      <c r="A77" s="8">
        <v>76</v>
      </c>
      <c r="B77" s="21" t="s">
        <v>375</v>
      </c>
      <c r="C77" s="16" t="s">
        <v>28</v>
      </c>
      <c r="D77" s="9">
        <v>46104</v>
      </c>
      <c r="E77" s="8" t="s">
        <v>265</v>
      </c>
      <c r="F77" s="12" t="s">
        <v>184</v>
      </c>
      <c r="G77" s="8" t="s">
        <v>313</v>
      </c>
      <c r="H77" s="8" t="s">
        <v>376</v>
      </c>
      <c r="I77" s="8" t="s">
        <v>377</v>
      </c>
      <c r="J77" s="8" t="s">
        <v>29</v>
      </c>
      <c r="K77" s="8" t="s">
        <v>29</v>
      </c>
      <c r="L77" s="8" t="s">
        <v>378</v>
      </c>
      <c r="M77" s="8" t="s">
        <v>36</v>
      </c>
      <c r="N77" s="8" t="s">
        <v>37</v>
      </c>
      <c r="O77" s="18">
        <v>46104.091099537036</v>
      </c>
      <c r="P77" s="18">
        <v>46104.093055555553</v>
      </c>
      <c r="Q77" s="14">
        <f t="shared" si="0"/>
        <v>2.8166666650213301</v>
      </c>
      <c r="R77" s="18">
        <v>46104.110543981478</v>
      </c>
      <c r="S77" s="19">
        <v>46104.370289351849</v>
      </c>
      <c r="T77" s="14">
        <f t="shared" si="1"/>
        <v>374.03333333437331</v>
      </c>
      <c r="U77" s="14">
        <f t="shared" si="2"/>
        <v>402.03333333134651</v>
      </c>
      <c r="V77" s="8" t="s">
        <v>379</v>
      </c>
      <c r="W77" s="16" t="s">
        <v>39</v>
      </c>
      <c r="X77" s="15" t="s">
        <v>40</v>
      </c>
      <c r="Y77" s="15" t="s">
        <v>41</v>
      </c>
      <c r="Z77" s="15" t="s">
        <v>42</v>
      </c>
      <c r="AA77" s="8" t="s">
        <v>43</v>
      </c>
      <c r="AB77" s="8"/>
    </row>
    <row r="78" spans="1:28" ht="28.5" x14ac:dyDescent="0.2">
      <c r="A78" s="8">
        <v>77</v>
      </c>
      <c r="B78" s="21" t="s">
        <v>380</v>
      </c>
      <c r="C78" s="16" t="s">
        <v>28</v>
      </c>
      <c r="D78" s="9">
        <v>46104</v>
      </c>
      <c r="E78" s="8" t="s">
        <v>265</v>
      </c>
      <c r="F78" s="12" t="s">
        <v>184</v>
      </c>
      <c r="G78" s="8" t="s">
        <v>313</v>
      </c>
      <c r="H78" s="8" t="s">
        <v>381</v>
      </c>
      <c r="I78" s="8" t="s">
        <v>309</v>
      </c>
      <c r="J78" s="8" t="s">
        <v>29</v>
      </c>
      <c r="K78" s="8" t="s">
        <v>29</v>
      </c>
      <c r="L78" s="8" t="s">
        <v>382</v>
      </c>
      <c r="M78" s="8" t="s">
        <v>107</v>
      </c>
      <c r="N78" s="8" t="s">
        <v>37</v>
      </c>
      <c r="O78" s="18">
        <v>46104.099027777775</v>
      </c>
      <c r="P78" s="18">
        <v>46104.101388888892</v>
      </c>
      <c r="Q78" s="14">
        <f t="shared" si="0"/>
        <v>3.4000000089872628</v>
      </c>
      <c r="R78" s="18">
        <v>46104.108055555553</v>
      </c>
      <c r="S78" s="18">
        <v>46104.182916666665</v>
      </c>
      <c r="T78" s="14">
        <f t="shared" si="1"/>
        <v>107.80000000144355</v>
      </c>
      <c r="U78" s="14">
        <f t="shared" si="2"/>
        <v>120.80000000190921</v>
      </c>
      <c r="V78" s="8" t="s">
        <v>372</v>
      </c>
      <c r="W78" s="16" t="s">
        <v>39</v>
      </c>
      <c r="X78" s="10" t="s">
        <v>40</v>
      </c>
      <c r="Y78" s="10" t="s">
        <v>373</v>
      </c>
      <c r="Z78" s="10" t="s">
        <v>374</v>
      </c>
      <c r="AA78" s="8" t="s">
        <v>43</v>
      </c>
      <c r="AB78" s="8"/>
    </row>
    <row r="79" spans="1:28" ht="28.5" x14ac:dyDescent="0.2">
      <c r="A79" s="8">
        <v>78</v>
      </c>
      <c r="B79" s="21" t="s">
        <v>383</v>
      </c>
      <c r="C79" s="16" t="s">
        <v>28</v>
      </c>
      <c r="D79" s="9">
        <v>46104</v>
      </c>
      <c r="E79" s="8" t="s">
        <v>265</v>
      </c>
      <c r="F79" s="12" t="s">
        <v>184</v>
      </c>
      <c r="G79" s="8" t="s">
        <v>313</v>
      </c>
      <c r="H79" s="8" t="s">
        <v>384</v>
      </c>
      <c r="I79" s="8" t="s">
        <v>385</v>
      </c>
      <c r="J79" s="8" t="s">
        <v>29</v>
      </c>
      <c r="K79" s="8" t="s">
        <v>29</v>
      </c>
      <c r="L79" s="8" t="s">
        <v>386</v>
      </c>
      <c r="M79" s="8" t="s">
        <v>107</v>
      </c>
      <c r="N79" s="8" t="s">
        <v>37</v>
      </c>
      <c r="O79" s="18">
        <v>46104.110509259262</v>
      </c>
      <c r="P79" s="18">
        <v>46104.117361111108</v>
      </c>
      <c r="Q79" s="14">
        <f t="shared" si="0"/>
        <v>9.8666666576173156</v>
      </c>
      <c r="R79" s="18">
        <v>46104.242152777777</v>
      </c>
      <c r="S79" s="18">
        <v>46104.246678240743</v>
      </c>
      <c r="T79" s="14">
        <f t="shared" si="1"/>
        <v>6.5166666707955301</v>
      </c>
      <c r="U79" s="14">
        <f t="shared" si="2"/>
        <v>196.08333333162591</v>
      </c>
      <c r="V79" s="8" t="s">
        <v>387</v>
      </c>
      <c r="W79" s="16" t="s">
        <v>39</v>
      </c>
      <c r="X79" s="10" t="s">
        <v>40</v>
      </c>
      <c r="Y79" s="10" t="s">
        <v>373</v>
      </c>
      <c r="Z79" s="10" t="s">
        <v>374</v>
      </c>
      <c r="AA79" s="8" t="s">
        <v>43</v>
      </c>
      <c r="AB79" s="8"/>
    </row>
    <row r="80" spans="1:28" ht="14.25" x14ac:dyDescent="0.2">
      <c r="A80" s="8">
        <v>79</v>
      </c>
      <c r="B80" s="21" t="s">
        <v>388</v>
      </c>
      <c r="C80" s="16" t="s">
        <v>28</v>
      </c>
      <c r="D80" s="9">
        <v>46104</v>
      </c>
      <c r="E80" s="8" t="s">
        <v>265</v>
      </c>
      <c r="F80" s="8" t="s">
        <v>389</v>
      </c>
      <c r="G80" s="8" t="s">
        <v>389</v>
      </c>
      <c r="H80" s="8" t="s">
        <v>390</v>
      </c>
      <c r="I80" s="8" t="s">
        <v>391</v>
      </c>
      <c r="J80" s="8" t="s">
        <v>29</v>
      </c>
      <c r="K80" s="8" t="s">
        <v>29</v>
      </c>
      <c r="L80" s="8" t="s">
        <v>392</v>
      </c>
      <c r="M80" s="8" t="s">
        <v>107</v>
      </c>
      <c r="N80" s="8" t="s">
        <v>37</v>
      </c>
      <c r="O80" s="18">
        <v>46104.116226851853</v>
      </c>
      <c r="P80" s="18">
        <v>46104.119444444441</v>
      </c>
      <c r="Q80" s="14">
        <f t="shared" si="0"/>
        <v>4.6333333267830312</v>
      </c>
      <c r="R80" s="18">
        <v>46104.133587962962</v>
      </c>
      <c r="S80" s="19">
        <v>46104.326423611114</v>
      </c>
      <c r="T80" s="14">
        <f t="shared" si="1"/>
        <v>277.68333333777264</v>
      </c>
      <c r="U80" s="14">
        <f t="shared" si="2"/>
        <v>302.68333333544433</v>
      </c>
      <c r="V80" s="8" t="s">
        <v>393</v>
      </c>
      <c r="W80" s="16" t="s">
        <v>39</v>
      </c>
      <c r="X80" s="10" t="s">
        <v>40</v>
      </c>
      <c r="Y80" s="10" t="s">
        <v>373</v>
      </c>
      <c r="Z80" s="10" t="s">
        <v>374</v>
      </c>
      <c r="AA80" s="8" t="s">
        <v>43</v>
      </c>
      <c r="AB80" s="8"/>
    </row>
    <row r="81" spans="1:28" ht="28.5" x14ac:dyDescent="0.2">
      <c r="A81" s="8">
        <v>80</v>
      </c>
      <c r="B81" s="21" t="s">
        <v>394</v>
      </c>
      <c r="C81" s="15" t="s">
        <v>28</v>
      </c>
      <c r="D81" s="9">
        <v>46104</v>
      </c>
      <c r="E81" s="8" t="s">
        <v>265</v>
      </c>
      <c r="F81" s="12" t="s">
        <v>184</v>
      </c>
      <c r="G81" s="8" t="s">
        <v>313</v>
      </c>
      <c r="H81" s="8" t="s">
        <v>395</v>
      </c>
      <c r="I81" s="8" t="s">
        <v>396</v>
      </c>
      <c r="J81" s="8" t="s">
        <v>29</v>
      </c>
      <c r="K81" s="8" t="s">
        <v>29</v>
      </c>
      <c r="L81" s="8" t="s">
        <v>397</v>
      </c>
      <c r="M81" s="8" t="s">
        <v>107</v>
      </c>
      <c r="N81" s="8" t="s">
        <v>37</v>
      </c>
      <c r="O81" s="18">
        <v>46104.261967592596</v>
      </c>
      <c r="P81" s="18">
        <v>46104.263888888891</v>
      </c>
      <c r="Q81" s="14">
        <f t="shared" si="0"/>
        <v>2.7666666638106108</v>
      </c>
      <c r="R81" s="19">
        <v>46104.293564814812</v>
      </c>
      <c r="S81" s="19">
        <v>46104.304282407407</v>
      </c>
      <c r="T81" s="14">
        <f t="shared" si="1"/>
        <v>15.433333336841315</v>
      </c>
      <c r="U81" s="14">
        <f t="shared" si="2"/>
        <v>60.933333327993751</v>
      </c>
      <c r="V81" s="8" t="s">
        <v>398</v>
      </c>
      <c r="W81" s="16" t="s">
        <v>39</v>
      </c>
      <c r="X81" s="10" t="s">
        <v>40</v>
      </c>
      <c r="Y81" s="10" t="s">
        <v>373</v>
      </c>
      <c r="Z81" s="10" t="s">
        <v>374</v>
      </c>
      <c r="AA81" s="8" t="s">
        <v>43</v>
      </c>
      <c r="AB81" s="8"/>
    </row>
    <row r="82" spans="1:28" ht="28.5" x14ac:dyDescent="0.2">
      <c r="A82" s="8">
        <v>81</v>
      </c>
      <c r="B82" s="21" t="s">
        <v>399</v>
      </c>
      <c r="C82" s="15" t="s">
        <v>28</v>
      </c>
      <c r="D82" s="9">
        <v>46104</v>
      </c>
      <c r="E82" s="20" t="s">
        <v>290</v>
      </c>
      <c r="F82" s="12" t="s">
        <v>184</v>
      </c>
      <c r="G82" s="8" t="s">
        <v>55</v>
      </c>
      <c r="H82" s="20" t="s">
        <v>400</v>
      </c>
      <c r="I82" s="8" t="s">
        <v>401</v>
      </c>
      <c r="J82" s="8" t="s">
        <v>29</v>
      </c>
      <c r="K82" s="8" t="s">
        <v>29</v>
      </c>
      <c r="L82" s="8" t="s">
        <v>402</v>
      </c>
      <c r="M82" s="8" t="s">
        <v>107</v>
      </c>
      <c r="N82" s="8" t="s">
        <v>37</v>
      </c>
      <c r="O82" s="19">
        <v>46104.381122685183</v>
      </c>
      <c r="P82" s="19">
        <v>46104.383020833331</v>
      </c>
      <c r="Q82" s="14">
        <f t="shared" si="0"/>
        <v>2.7333333331625909</v>
      </c>
      <c r="R82" s="19">
        <v>46104.383020833331</v>
      </c>
      <c r="S82" s="19">
        <v>46104.384652777779</v>
      </c>
      <c r="T82" s="14">
        <f t="shared" si="1"/>
        <v>2.3500000045169145</v>
      </c>
      <c r="U82" s="14">
        <f t="shared" si="2"/>
        <v>5.0833333376795053</v>
      </c>
      <c r="V82" s="8" t="s">
        <v>403</v>
      </c>
      <c r="W82" s="16" t="s">
        <v>39</v>
      </c>
      <c r="X82" s="10" t="s">
        <v>40</v>
      </c>
      <c r="Y82" s="10" t="s">
        <v>373</v>
      </c>
      <c r="Z82" s="10" t="s">
        <v>374</v>
      </c>
      <c r="AA82" s="8" t="s">
        <v>43</v>
      </c>
      <c r="AB82" s="8"/>
    </row>
    <row r="83" spans="1:28" ht="14.25" x14ac:dyDescent="0.2">
      <c r="A83" s="8">
        <v>82</v>
      </c>
      <c r="B83" s="21" t="s">
        <v>404</v>
      </c>
      <c r="C83" s="15" t="s">
        <v>28</v>
      </c>
      <c r="D83" s="9">
        <v>46104</v>
      </c>
      <c r="E83" s="8" t="s">
        <v>333</v>
      </c>
      <c r="F83" s="12" t="s">
        <v>60</v>
      </c>
      <c r="G83" s="8" t="s">
        <v>349</v>
      </c>
      <c r="H83" s="11" t="s">
        <v>405</v>
      </c>
      <c r="I83" s="8" t="s">
        <v>406</v>
      </c>
      <c r="J83" s="8" t="s">
        <v>29</v>
      </c>
      <c r="K83" s="8" t="s">
        <v>29</v>
      </c>
      <c r="L83" s="8" t="s">
        <v>29</v>
      </c>
      <c r="M83" s="8" t="s">
        <v>107</v>
      </c>
      <c r="N83" s="8" t="s">
        <v>346</v>
      </c>
      <c r="O83" s="18">
        <v>46104.715752314813</v>
      </c>
      <c r="P83" s="18">
        <v>46104.717361111114</v>
      </c>
      <c r="Q83" s="14">
        <f t="shared" si="0"/>
        <v>2.3166666738688946</v>
      </c>
      <c r="R83" s="18">
        <v>46104.717361111114</v>
      </c>
      <c r="S83" s="18">
        <v>46104.721238425926</v>
      </c>
      <c r="T83" s="14">
        <f t="shared" si="1"/>
        <v>5.5833333288319409</v>
      </c>
      <c r="U83" s="14">
        <f t="shared" si="2"/>
        <v>7.9000000027008355</v>
      </c>
      <c r="V83" s="8" t="s">
        <v>407</v>
      </c>
      <c r="W83" s="16" t="s">
        <v>39</v>
      </c>
      <c r="X83" s="8" t="s">
        <v>66</v>
      </c>
      <c r="Y83" s="8" t="s">
        <v>67</v>
      </c>
      <c r="Z83" s="8" t="s">
        <v>67</v>
      </c>
      <c r="AA83" s="8" t="s">
        <v>43</v>
      </c>
      <c r="AB83" s="8"/>
    </row>
    <row r="84" spans="1:28" ht="14.25" x14ac:dyDescent="0.2">
      <c r="A84" s="8">
        <v>83</v>
      </c>
      <c r="B84" s="21" t="s">
        <v>408</v>
      </c>
      <c r="C84" s="15" t="s">
        <v>28</v>
      </c>
      <c r="D84" s="9">
        <v>46104</v>
      </c>
      <c r="E84" s="8" t="s">
        <v>333</v>
      </c>
      <c r="F84" s="12" t="s">
        <v>60</v>
      </c>
      <c r="G84" s="8" t="s">
        <v>349</v>
      </c>
      <c r="H84" s="11" t="s">
        <v>409</v>
      </c>
      <c r="I84" s="8" t="s">
        <v>377</v>
      </c>
      <c r="J84" s="8" t="s">
        <v>29</v>
      </c>
      <c r="K84" s="8" t="s">
        <v>29</v>
      </c>
      <c r="L84" s="8" t="s">
        <v>410</v>
      </c>
      <c r="M84" s="8" t="s">
        <v>36</v>
      </c>
      <c r="N84" s="8" t="s">
        <v>411</v>
      </c>
      <c r="O84" s="18">
        <v>46104.740312499998</v>
      </c>
      <c r="P84" s="18">
        <v>46104.743784722225</v>
      </c>
      <c r="Q84" s="14">
        <f t="shared" si="0"/>
        <v>5.0000000058207661</v>
      </c>
      <c r="R84" s="18">
        <v>46104.772812499999</v>
      </c>
      <c r="S84" s="18">
        <v>46104.868946759256</v>
      </c>
      <c r="T84" s="14">
        <f t="shared" si="1"/>
        <v>138.4333333291579</v>
      </c>
      <c r="U84" s="14">
        <f t="shared" si="2"/>
        <v>185.23333333083428</v>
      </c>
      <c r="V84" s="8" t="s">
        <v>412</v>
      </c>
      <c r="W84" s="16" t="s">
        <v>39</v>
      </c>
      <c r="X84" s="15" t="s">
        <v>40</v>
      </c>
      <c r="Y84" s="15" t="s">
        <v>41</v>
      </c>
      <c r="Z84" s="15" t="s">
        <v>42</v>
      </c>
      <c r="AA84" s="8" t="s">
        <v>43</v>
      </c>
      <c r="AB84" s="8"/>
    </row>
    <row r="85" spans="1:28" ht="14.25" x14ac:dyDescent="0.2">
      <c r="A85" s="8">
        <v>84</v>
      </c>
      <c r="B85" s="21" t="s">
        <v>413</v>
      </c>
      <c r="C85" s="15" t="s">
        <v>28</v>
      </c>
      <c r="D85" s="9">
        <v>46104</v>
      </c>
      <c r="E85" s="15" t="s">
        <v>333</v>
      </c>
      <c r="F85" s="12" t="s">
        <v>60</v>
      </c>
      <c r="G85" s="8" t="s">
        <v>349</v>
      </c>
      <c r="H85" s="11" t="s">
        <v>344</v>
      </c>
      <c r="I85" s="8" t="s">
        <v>414</v>
      </c>
      <c r="J85" s="8" t="s">
        <v>29</v>
      </c>
      <c r="K85" s="8" t="s">
        <v>29</v>
      </c>
      <c r="L85" s="8" t="s">
        <v>415</v>
      </c>
      <c r="M85" s="8" t="s">
        <v>36</v>
      </c>
      <c r="N85" s="8" t="s">
        <v>346</v>
      </c>
      <c r="O85" s="18">
        <v>46104.818530092591</v>
      </c>
      <c r="P85" s="18">
        <v>46104.820486111108</v>
      </c>
      <c r="Q85" s="14">
        <f t="shared" si="0"/>
        <v>2.8166666650213301</v>
      </c>
      <c r="R85" s="18">
        <v>46104.820486111108</v>
      </c>
      <c r="S85" s="18">
        <v>46104.822812500002</v>
      </c>
      <c r="T85" s="14">
        <f t="shared" si="1"/>
        <v>3.3500000077765435</v>
      </c>
      <c r="U85" s="14">
        <f t="shared" si="2"/>
        <v>6.1666666727978736</v>
      </c>
      <c r="V85" s="12" t="s">
        <v>354</v>
      </c>
      <c r="W85" s="16" t="s">
        <v>39</v>
      </c>
      <c r="X85" s="8" t="s">
        <v>66</v>
      </c>
      <c r="Y85" s="8" t="s">
        <v>67</v>
      </c>
      <c r="Z85" s="8" t="s">
        <v>67</v>
      </c>
      <c r="AA85" s="8" t="s">
        <v>43</v>
      </c>
      <c r="AB85" s="8"/>
    </row>
    <row r="86" spans="1:28" ht="28.5" x14ac:dyDescent="0.2">
      <c r="A86" s="8">
        <v>85</v>
      </c>
      <c r="B86" s="21" t="s">
        <v>416</v>
      </c>
      <c r="C86" s="15" t="s">
        <v>28</v>
      </c>
      <c r="D86" s="9">
        <v>46104</v>
      </c>
      <c r="E86" s="15" t="s">
        <v>333</v>
      </c>
      <c r="F86" s="12" t="s">
        <v>184</v>
      </c>
      <c r="G86" s="8" t="s">
        <v>55</v>
      </c>
      <c r="H86" s="20" t="s">
        <v>400</v>
      </c>
      <c r="I86" s="8" t="s">
        <v>417</v>
      </c>
      <c r="J86" s="8" t="s">
        <v>29</v>
      </c>
      <c r="K86" s="8" t="s">
        <v>29</v>
      </c>
      <c r="L86" s="8" t="s">
        <v>29</v>
      </c>
      <c r="M86" s="8" t="s">
        <v>36</v>
      </c>
      <c r="N86" s="8" t="s">
        <v>37</v>
      </c>
      <c r="O86" s="18">
        <v>46104.929780092592</v>
      </c>
      <c r="P86" s="18">
        <v>46104.931168981479</v>
      </c>
      <c r="Q86" s="14">
        <f t="shared" si="0"/>
        <v>1.9999999960418791</v>
      </c>
      <c r="R86" s="18">
        <v>46104.931168981479</v>
      </c>
      <c r="S86" s="18">
        <v>46104.932002314818</v>
      </c>
      <c r="T86" s="14">
        <f t="shared" si="1"/>
        <v>1.2000000081025064</v>
      </c>
      <c r="U86" s="14">
        <f t="shared" si="2"/>
        <v>3.2000000041443855</v>
      </c>
      <c r="V86" s="11" t="s">
        <v>317</v>
      </c>
      <c r="W86" s="16" t="s">
        <v>39</v>
      </c>
      <c r="X86" s="8" t="s">
        <v>66</v>
      </c>
      <c r="Y86" s="8" t="s">
        <v>67</v>
      </c>
      <c r="Z86" s="8" t="s">
        <v>67</v>
      </c>
      <c r="AA86" s="8" t="s">
        <v>43</v>
      </c>
      <c r="AB86" s="8"/>
    </row>
    <row r="87" spans="1:28" ht="28.5" x14ac:dyDescent="0.2">
      <c r="A87" s="8">
        <v>86</v>
      </c>
      <c r="B87" s="21" t="s">
        <v>418</v>
      </c>
      <c r="C87" s="15" t="s">
        <v>28</v>
      </c>
      <c r="D87" s="9">
        <v>46105</v>
      </c>
      <c r="E87" s="8" t="s">
        <v>254</v>
      </c>
      <c r="F87" s="12" t="s">
        <v>184</v>
      </c>
      <c r="G87" s="8" t="s">
        <v>55</v>
      </c>
      <c r="H87" s="8" t="s">
        <v>419</v>
      </c>
      <c r="I87" s="8" t="s">
        <v>420</v>
      </c>
      <c r="J87" s="8" t="s">
        <v>29</v>
      </c>
      <c r="K87" s="8" t="s">
        <v>29</v>
      </c>
      <c r="L87" s="8" t="s">
        <v>421</v>
      </c>
      <c r="M87" s="8" t="s">
        <v>36</v>
      </c>
      <c r="N87" s="8" t="s">
        <v>37</v>
      </c>
      <c r="O87" s="18">
        <v>46105.04959490741</v>
      </c>
      <c r="P87" s="22">
        <v>46105.053472222222</v>
      </c>
      <c r="Q87" s="14">
        <f t="shared" si="0"/>
        <v>5.5833333288319409</v>
      </c>
      <c r="R87" s="19">
        <v>46105.087337962963</v>
      </c>
      <c r="S87" s="19">
        <v>46105.139178240737</v>
      </c>
      <c r="T87" s="14">
        <f t="shared" si="1"/>
        <v>74.649999995017424</v>
      </c>
      <c r="U87" s="14">
        <f t="shared" si="2"/>
        <v>128.9999999909196</v>
      </c>
      <c r="V87" s="8" t="s">
        <v>422</v>
      </c>
      <c r="W87" s="16" t="s">
        <v>39</v>
      </c>
      <c r="X87" s="15" t="s">
        <v>40</v>
      </c>
      <c r="Y87" s="15" t="s">
        <v>41</v>
      </c>
      <c r="Z87" s="15" t="s">
        <v>42</v>
      </c>
      <c r="AA87" s="8" t="s">
        <v>43</v>
      </c>
      <c r="AB87" s="8"/>
    </row>
    <row r="88" spans="1:28" ht="28.5" x14ac:dyDescent="0.2">
      <c r="A88" s="8">
        <v>87</v>
      </c>
      <c r="B88" s="21" t="s">
        <v>423</v>
      </c>
      <c r="C88" s="15" t="s">
        <v>28</v>
      </c>
      <c r="D88" s="9">
        <v>46105</v>
      </c>
      <c r="E88" s="8" t="s">
        <v>290</v>
      </c>
      <c r="F88" s="12" t="s">
        <v>184</v>
      </c>
      <c r="G88" s="8" t="s">
        <v>55</v>
      </c>
      <c r="H88" s="8" t="s">
        <v>395</v>
      </c>
      <c r="I88" s="8" t="s">
        <v>218</v>
      </c>
      <c r="J88" s="8" t="s">
        <v>29</v>
      </c>
      <c r="K88" s="8" t="s">
        <v>29</v>
      </c>
      <c r="L88" s="8" t="s">
        <v>424</v>
      </c>
      <c r="M88" s="8" t="s">
        <v>36</v>
      </c>
      <c r="N88" s="8" t="s">
        <v>37</v>
      </c>
      <c r="O88" s="18">
        <v>46105.40693287037</v>
      </c>
      <c r="P88" s="23">
        <v>46105.409166666665</v>
      </c>
      <c r="Q88" s="14">
        <f t="shared" si="0"/>
        <v>3.2166666642297059</v>
      </c>
      <c r="R88" s="23">
        <v>46105.412754629629</v>
      </c>
      <c r="S88" s="23">
        <v>46105.449884259258</v>
      </c>
      <c r="T88" s="14">
        <f t="shared" si="1"/>
        <v>53.46666666562669</v>
      </c>
      <c r="U88" s="14">
        <f t="shared" si="2"/>
        <v>61.84999999939464</v>
      </c>
      <c r="V88" s="12" t="s">
        <v>425</v>
      </c>
      <c r="W88" s="16" t="s">
        <v>39</v>
      </c>
      <c r="X88" s="10" t="s">
        <v>40</v>
      </c>
      <c r="Y88" s="10" t="s">
        <v>373</v>
      </c>
      <c r="Z88" s="10" t="s">
        <v>374</v>
      </c>
      <c r="AA88" s="8" t="s">
        <v>43</v>
      </c>
      <c r="AB88" s="8"/>
    </row>
    <row r="89" spans="1:28" ht="28.5" x14ac:dyDescent="0.2">
      <c r="A89" s="8">
        <v>88</v>
      </c>
      <c r="B89" s="21" t="s">
        <v>426</v>
      </c>
      <c r="C89" s="15" t="s">
        <v>28</v>
      </c>
      <c r="D89" s="9">
        <v>46105</v>
      </c>
      <c r="E89" s="8" t="s">
        <v>290</v>
      </c>
      <c r="F89" s="12" t="s">
        <v>184</v>
      </c>
      <c r="G89" s="8" t="s">
        <v>55</v>
      </c>
      <c r="H89" s="8" t="s">
        <v>395</v>
      </c>
      <c r="I89" s="8" t="s">
        <v>335</v>
      </c>
      <c r="J89" s="8" t="s">
        <v>29</v>
      </c>
      <c r="K89" s="8" t="s">
        <v>29</v>
      </c>
      <c r="L89" s="8" t="s">
        <v>336</v>
      </c>
      <c r="M89" s="8" t="s">
        <v>36</v>
      </c>
      <c r="N89" s="8" t="s">
        <v>37</v>
      </c>
      <c r="O89" s="18">
        <v>46105.438287037039</v>
      </c>
      <c r="P89" s="19">
        <v>46105.439722222225</v>
      </c>
      <c r="Q89" s="14">
        <f t="shared" si="0"/>
        <v>2.0666666678152978</v>
      </c>
      <c r="R89" s="23">
        <v>46105.489247685182</v>
      </c>
      <c r="S89" s="23">
        <v>46105.514652777776</v>
      </c>
      <c r="T89" s="14">
        <f t="shared" si="1"/>
        <v>36.58333333558403</v>
      </c>
      <c r="U89" s="14">
        <f t="shared" si="2"/>
        <v>109.96666666120291</v>
      </c>
      <c r="V89" s="12" t="s">
        <v>425</v>
      </c>
      <c r="W89" s="16" t="s">
        <v>39</v>
      </c>
      <c r="X89" s="10" t="s">
        <v>40</v>
      </c>
      <c r="Y89" s="10" t="s">
        <v>373</v>
      </c>
      <c r="Z89" s="10" t="s">
        <v>374</v>
      </c>
      <c r="AA89" s="8" t="s">
        <v>43</v>
      </c>
      <c r="AB89" s="8"/>
    </row>
    <row r="90" spans="1:28" ht="28.5" x14ac:dyDescent="0.2">
      <c r="A90" s="8">
        <v>89</v>
      </c>
      <c r="B90" s="21" t="s">
        <v>427</v>
      </c>
      <c r="C90" s="15" t="s">
        <v>28</v>
      </c>
      <c r="D90" s="9">
        <v>46105</v>
      </c>
      <c r="E90" s="8" t="s">
        <v>183</v>
      </c>
      <c r="F90" s="12" t="s">
        <v>184</v>
      </c>
      <c r="G90" s="8" t="s">
        <v>55</v>
      </c>
      <c r="H90" s="8" t="s">
        <v>395</v>
      </c>
      <c r="I90" s="8" t="s">
        <v>428</v>
      </c>
      <c r="J90" s="8" t="s">
        <v>29</v>
      </c>
      <c r="K90" s="8" t="s">
        <v>29</v>
      </c>
      <c r="L90" s="8" t="s">
        <v>429</v>
      </c>
      <c r="M90" s="8" t="s">
        <v>107</v>
      </c>
      <c r="N90" s="8" t="s">
        <v>37</v>
      </c>
      <c r="O90" s="18">
        <v>46105.50273148148</v>
      </c>
      <c r="P90" s="18">
        <v>46105.504120370373</v>
      </c>
      <c r="Q90" s="14">
        <f t="shared" si="0"/>
        <v>2.000000006519258</v>
      </c>
      <c r="R90" s="18">
        <v>46105.514537037037</v>
      </c>
      <c r="S90" s="23">
        <v>46105.660601851851</v>
      </c>
      <c r="T90" s="14">
        <f t="shared" si="1"/>
        <v>210.33333333092742</v>
      </c>
      <c r="U90" s="14">
        <f t="shared" si="2"/>
        <v>227.33333333395422</v>
      </c>
      <c r="V90" s="12" t="s">
        <v>430</v>
      </c>
      <c r="W90" s="16" t="s">
        <v>39</v>
      </c>
      <c r="X90" s="15" t="s">
        <v>40</v>
      </c>
      <c r="Y90" s="15" t="s">
        <v>41</v>
      </c>
      <c r="Z90" s="15" t="s">
        <v>53</v>
      </c>
      <c r="AA90" s="8" t="s">
        <v>43</v>
      </c>
      <c r="AB90" s="8"/>
    </row>
    <row r="91" spans="1:28" ht="28.5" x14ac:dyDescent="0.2">
      <c r="A91" s="8">
        <v>90</v>
      </c>
      <c r="B91" s="21" t="s">
        <v>431</v>
      </c>
      <c r="C91" s="15" t="s">
        <v>28</v>
      </c>
      <c r="D91" s="9">
        <v>46105</v>
      </c>
      <c r="E91" s="8" t="s">
        <v>290</v>
      </c>
      <c r="F91" s="12" t="s">
        <v>184</v>
      </c>
      <c r="G91" s="8" t="s">
        <v>55</v>
      </c>
      <c r="H91" s="20" t="s">
        <v>400</v>
      </c>
      <c r="I91" s="8" t="s">
        <v>187</v>
      </c>
      <c r="J91" s="8" t="s">
        <v>29</v>
      </c>
      <c r="K91" s="8" t="s">
        <v>29</v>
      </c>
      <c r="L91" s="8" t="s">
        <v>432</v>
      </c>
      <c r="M91" s="8" t="s">
        <v>36</v>
      </c>
      <c r="N91" s="8" t="s">
        <v>37</v>
      </c>
      <c r="O91" s="18">
        <v>46105.56795138889</v>
      </c>
      <c r="P91" s="18">
        <v>46105.573622685188</v>
      </c>
      <c r="Q91" s="14">
        <f t="shared" si="0"/>
        <v>8.1666666688397527</v>
      </c>
      <c r="R91" s="18">
        <v>46105.573622685188</v>
      </c>
      <c r="S91" s="23">
        <v>46105.582673611112</v>
      </c>
      <c r="T91" s="14">
        <f t="shared" si="1"/>
        <v>13.033333331113681</v>
      </c>
      <c r="U91" s="14">
        <f t="shared" si="2"/>
        <v>21.199999999953434</v>
      </c>
      <c r="V91" s="11" t="s">
        <v>317</v>
      </c>
      <c r="W91" s="24" t="s">
        <v>39</v>
      </c>
      <c r="X91" s="12" t="s">
        <v>66</v>
      </c>
      <c r="Y91" s="8" t="s">
        <v>67</v>
      </c>
      <c r="Z91" s="8" t="s">
        <v>67</v>
      </c>
      <c r="AA91" s="8" t="s">
        <v>43</v>
      </c>
      <c r="AB91" s="8"/>
    </row>
    <row r="92" spans="1:28" ht="14.25" x14ac:dyDescent="0.2">
      <c r="A92" s="8">
        <v>91</v>
      </c>
      <c r="B92" s="21" t="s">
        <v>433</v>
      </c>
      <c r="C92" s="15" t="s">
        <v>28</v>
      </c>
      <c r="D92" s="9">
        <v>46106</v>
      </c>
      <c r="E92" s="8" t="s">
        <v>254</v>
      </c>
      <c r="F92" s="12" t="s">
        <v>60</v>
      </c>
      <c r="G92" s="8" t="s">
        <v>349</v>
      </c>
      <c r="H92" s="8" t="s">
        <v>434</v>
      </c>
      <c r="I92" s="8" t="s">
        <v>218</v>
      </c>
      <c r="J92" s="8" t="s">
        <v>29</v>
      </c>
      <c r="K92" s="8" t="s">
        <v>29</v>
      </c>
      <c r="L92" s="8" t="s">
        <v>435</v>
      </c>
      <c r="M92" s="8" t="s">
        <v>36</v>
      </c>
      <c r="N92" s="8" t="s">
        <v>37</v>
      </c>
      <c r="O92" s="18">
        <v>46105.971666666665</v>
      </c>
      <c r="P92" s="18">
        <v>46105.977083333331</v>
      </c>
      <c r="Q92" s="14">
        <f t="shared" si="0"/>
        <v>7.8000000002793968</v>
      </c>
      <c r="R92" s="25">
        <v>46106.017361111109</v>
      </c>
      <c r="S92" s="25">
        <v>46106.055590277778</v>
      </c>
      <c r="T92" s="14">
        <f t="shared" si="1"/>
        <v>55.050000002374873</v>
      </c>
      <c r="U92" s="14">
        <f t="shared" si="2"/>
        <v>120.85000000311993</v>
      </c>
      <c r="V92" s="8" t="s">
        <v>436</v>
      </c>
      <c r="W92" s="16" t="s">
        <v>39</v>
      </c>
      <c r="X92" s="10" t="s">
        <v>40</v>
      </c>
      <c r="Y92" s="15" t="s">
        <v>41</v>
      </c>
      <c r="Z92" s="8" t="s">
        <v>437</v>
      </c>
      <c r="AA92" s="8" t="s">
        <v>438</v>
      </c>
      <c r="AB92" s="8" t="s">
        <v>439</v>
      </c>
    </row>
    <row r="93" spans="1:28" ht="14.25" x14ac:dyDescent="0.2">
      <c r="A93" s="8">
        <v>92</v>
      </c>
      <c r="B93" s="21" t="s">
        <v>440</v>
      </c>
      <c r="C93" s="15" t="s">
        <v>28</v>
      </c>
      <c r="D93" s="9">
        <v>46106</v>
      </c>
      <c r="E93" s="8" t="s">
        <v>254</v>
      </c>
      <c r="F93" s="12" t="s">
        <v>60</v>
      </c>
      <c r="G93" s="8" t="s">
        <v>349</v>
      </c>
      <c r="H93" s="8" t="s">
        <v>441</v>
      </c>
      <c r="I93" s="8" t="s">
        <v>218</v>
      </c>
      <c r="J93" s="8" t="s">
        <v>29</v>
      </c>
      <c r="K93" s="8" t="s">
        <v>29</v>
      </c>
      <c r="L93" s="8" t="s">
        <v>435</v>
      </c>
      <c r="M93" s="8" t="s">
        <v>36</v>
      </c>
      <c r="N93" s="8" t="s">
        <v>37</v>
      </c>
      <c r="O93" s="18">
        <v>46106.112581018519</v>
      </c>
      <c r="P93" s="18">
        <v>46106.116666666669</v>
      </c>
      <c r="Q93" s="14">
        <f t="shared" si="0"/>
        <v>5.883333336096257</v>
      </c>
      <c r="R93" s="18">
        <v>46106.116666666669</v>
      </c>
      <c r="S93" s="25">
        <v>46106.125462962962</v>
      </c>
      <c r="T93" s="14">
        <f t="shared" si="1"/>
        <v>12.666666662553325</v>
      </c>
      <c r="U93" s="14">
        <f t="shared" si="2"/>
        <v>18.549999998649582</v>
      </c>
      <c r="V93" s="8" t="s">
        <v>442</v>
      </c>
      <c r="W93" s="16" t="s">
        <v>39</v>
      </c>
      <c r="X93" s="8" t="s">
        <v>66</v>
      </c>
      <c r="Y93" s="8" t="s">
        <v>67</v>
      </c>
      <c r="Z93" s="8" t="s">
        <v>67</v>
      </c>
      <c r="AA93" s="8" t="s">
        <v>438</v>
      </c>
      <c r="AB93" s="8"/>
    </row>
    <row r="94" spans="1:28" ht="28.5" x14ac:dyDescent="0.2">
      <c r="A94" s="8">
        <v>93</v>
      </c>
      <c r="B94" s="21" t="s">
        <v>443</v>
      </c>
      <c r="C94" s="15" t="s">
        <v>28</v>
      </c>
      <c r="D94" s="9">
        <v>46106</v>
      </c>
      <c r="E94" s="8" t="s">
        <v>254</v>
      </c>
      <c r="F94" s="12" t="s">
        <v>60</v>
      </c>
      <c r="G94" s="8" t="s">
        <v>349</v>
      </c>
      <c r="H94" s="20" t="s">
        <v>444</v>
      </c>
      <c r="I94" s="8" t="s">
        <v>203</v>
      </c>
      <c r="J94" s="8" t="s">
        <v>29</v>
      </c>
      <c r="K94" s="8" t="s">
        <v>29</v>
      </c>
      <c r="L94" s="8" t="s">
        <v>445</v>
      </c>
      <c r="M94" s="8" t="s">
        <v>36</v>
      </c>
      <c r="N94" s="8" t="s">
        <v>37</v>
      </c>
      <c r="O94" s="23">
        <v>46106.16196759259</v>
      </c>
      <c r="P94" s="23">
        <v>46106.164027777777</v>
      </c>
      <c r="Q94" s="14">
        <f t="shared" si="0"/>
        <v>2.9666666686534882</v>
      </c>
      <c r="R94" s="23">
        <v>46106.198738425926</v>
      </c>
      <c r="S94" s="23">
        <v>46106.26635416667</v>
      </c>
      <c r="T94" s="14">
        <f t="shared" si="1"/>
        <v>97.366666670423001</v>
      </c>
      <c r="U94" s="14">
        <f t="shared" si="2"/>
        <v>150.31666667433456</v>
      </c>
      <c r="V94" s="12" t="s">
        <v>446</v>
      </c>
      <c r="W94" s="16" t="s">
        <v>39</v>
      </c>
      <c r="X94" s="8" t="s">
        <v>66</v>
      </c>
      <c r="Y94" s="8" t="s">
        <v>67</v>
      </c>
      <c r="Z94" s="8" t="s">
        <v>67</v>
      </c>
      <c r="AA94" s="8" t="s">
        <v>43</v>
      </c>
      <c r="AB94" s="8" t="s">
        <v>447</v>
      </c>
    </row>
    <row r="95" spans="1:28" ht="28.5" x14ac:dyDescent="0.2">
      <c r="A95" s="8">
        <v>94</v>
      </c>
      <c r="B95" s="21" t="s">
        <v>448</v>
      </c>
      <c r="C95" s="15" t="s">
        <v>28</v>
      </c>
      <c r="D95" s="9">
        <v>46106</v>
      </c>
      <c r="E95" s="8" t="s">
        <v>290</v>
      </c>
      <c r="F95" s="12" t="s">
        <v>184</v>
      </c>
      <c r="G95" s="8" t="s">
        <v>55</v>
      </c>
      <c r="H95" s="8" t="s">
        <v>449</v>
      </c>
      <c r="I95" s="8" t="s">
        <v>420</v>
      </c>
      <c r="J95" s="8" t="s">
        <v>29</v>
      </c>
      <c r="K95" s="8" t="s">
        <v>29</v>
      </c>
      <c r="L95" s="8" t="s">
        <v>450</v>
      </c>
      <c r="M95" s="8" t="s">
        <v>36</v>
      </c>
      <c r="N95" s="8" t="s">
        <v>37</v>
      </c>
      <c r="O95" s="19">
        <v>46106.346909722219</v>
      </c>
      <c r="P95" s="19">
        <v>46106.350011574075</v>
      </c>
      <c r="Q95" s="14">
        <f t="shared" si="0"/>
        <v>4.4666666735429317</v>
      </c>
      <c r="R95" s="19">
        <v>46106.375972222224</v>
      </c>
      <c r="S95" s="19">
        <v>46106.41679398148</v>
      </c>
      <c r="T95" s="14">
        <f t="shared" si="1"/>
        <v>58.783333328319713</v>
      </c>
      <c r="U95" s="14">
        <f t="shared" si="2"/>
        <v>100.63333333586343</v>
      </c>
      <c r="V95" s="12" t="s">
        <v>451</v>
      </c>
      <c r="W95" s="16" t="s">
        <v>39</v>
      </c>
      <c r="X95" s="8" t="s">
        <v>66</v>
      </c>
      <c r="Y95" s="8" t="s">
        <v>67</v>
      </c>
      <c r="Z95" s="8" t="s">
        <v>67</v>
      </c>
      <c r="AA95" s="8" t="s">
        <v>43</v>
      </c>
      <c r="AB95" s="8" t="s">
        <v>452</v>
      </c>
    </row>
    <row r="96" spans="1:28" ht="28.5" x14ac:dyDescent="0.2">
      <c r="A96" s="8">
        <v>95</v>
      </c>
      <c r="B96" s="21" t="s">
        <v>453</v>
      </c>
      <c r="C96" s="17" t="s">
        <v>28</v>
      </c>
      <c r="D96" s="26">
        <v>46106</v>
      </c>
      <c r="E96" s="12" t="s">
        <v>183</v>
      </c>
      <c r="F96" s="12" t="s">
        <v>184</v>
      </c>
      <c r="G96" s="12" t="s">
        <v>55</v>
      </c>
      <c r="H96" s="12" t="s">
        <v>454</v>
      </c>
      <c r="I96" s="12" t="s">
        <v>282</v>
      </c>
      <c r="J96" s="8" t="s">
        <v>29</v>
      </c>
      <c r="K96" s="8" t="s">
        <v>29</v>
      </c>
      <c r="L96" s="12" t="s">
        <v>455</v>
      </c>
      <c r="M96" s="12" t="s">
        <v>107</v>
      </c>
      <c r="N96" s="12" t="s">
        <v>37</v>
      </c>
      <c r="O96" s="18">
        <v>46106.535034722219</v>
      </c>
      <c r="P96" s="18">
        <v>46106.535729166666</v>
      </c>
      <c r="Q96" s="14">
        <f t="shared" si="0"/>
        <v>1.000000003259629</v>
      </c>
      <c r="R96" s="18">
        <v>46106.537812499999</v>
      </c>
      <c r="S96" s="18">
        <v>46106.539270833331</v>
      </c>
      <c r="T96" s="14">
        <f t="shared" si="1"/>
        <v>2.0999999984633178</v>
      </c>
      <c r="U96" s="14">
        <f t="shared" si="2"/>
        <v>6.1000000010244548</v>
      </c>
      <c r="V96" s="12" t="s">
        <v>456</v>
      </c>
      <c r="W96" s="24" t="s">
        <v>39</v>
      </c>
      <c r="X96" s="12" t="s">
        <v>66</v>
      </c>
      <c r="Y96" s="12" t="s">
        <v>67</v>
      </c>
      <c r="Z96" s="8" t="s">
        <v>67</v>
      </c>
      <c r="AA96" s="12" t="s">
        <v>43</v>
      </c>
      <c r="AB96" s="12" t="s">
        <v>457</v>
      </c>
    </row>
    <row r="97" spans="1:28" ht="28.5" x14ac:dyDescent="0.2">
      <c r="A97" s="8">
        <v>96</v>
      </c>
      <c r="B97" s="21" t="s">
        <v>458</v>
      </c>
      <c r="C97" s="15" t="s">
        <v>28</v>
      </c>
      <c r="D97" s="26">
        <v>46106</v>
      </c>
      <c r="E97" s="8" t="s">
        <v>290</v>
      </c>
      <c r="F97" s="12" t="s">
        <v>184</v>
      </c>
      <c r="G97" s="12" t="s">
        <v>55</v>
      </c>
      <c r="H97" s="20" t="s">
        <v>400</v>
      </c>
      <c r="I97" s="8" t="s">
        <v>459</v>
      </c>
      <c r="J97" s="8" t="s">
        <v>29</v>
      </c>
      <c r="K97" s="8" t="s">
        <v>29</v>
      </c>
      <c r="L97" s="8" t="s">
        <v>460</v>
      </c>
      <c r="M97" s="12" t="s">
        <v>107</v>
      </c>
      <c r="N97" s="12" t="s">
        <v>37</v>
      </c>
      <c r="O97" s="19">
        <v>46106.595659722225</v>
      </c>
      <c r="P97" s="19">
        <v>46106.598749999997</v>
      </c>
      <c r="Q97" s="14">
        <f t="shared" si="0"/>
        <v>4.4499999925028533</v>
      </c>
      <c r="R97" s="19">
        <v>46106.598749999997</v>
      </c>
      <c r="S97" s="19">
        <v>46106.600138888891</v>
      </c>
      <c r="T97" s="14">
        <f t="shared" si="1"/>
        <v>2.000000006519258</v>
      </c>
      <c r="U97" s="14">
        <f t="shared" si="2"/>
        <v>6.4499999990221113</v>
      </c>
      <c r="V97" s="11" t="s">
        <v>317</v>
      </c>
      <c r="W97" s="24" t="s">
        <v>39</v>
      </c>
      <c r="X97" s="12" t="s">
        <v>66</v>
      </c>
      <c r="Y97" s="8" t="s">
        <v>67</v>
      </c>
      <c r="Z97" s="8" t="s">
        <v>67</v>
      </c>
      <c r="AA97" s="12" t="s">
        <v>43</v>
      </c>
      <c r="AB97" s="8" t="s">
        <v>29</v>
      </c>
    </row>
    <row r="98" spans="1:28" ht="28.5" x14ac:dyDescent="0.2">
      <c r="A98" s="8">
        <v>97</v>
      </c>
      <c r="B98" s="21" t="s">
        <v>461</v>
      </c>
      <c r="C98" s="15" t="s">
        <v>28</v>
      </c>
      <c r="D98" s="26">
        <v>46107</v>
      </c>
      <c r="E98" s="8" t="s">
        <v>254</v>
      </c>
      <c r="F98" s="12" t="s">
        <v>184</v>
      </c>
      <c r="G98" s="8" t="s">
        <v>55</v>
      </c>
      <c r="H98" s="8" t="s">
        <v>362</v>
      </c>
      <c r="I98" s="8" t="s">
        <v>462</v>
      </c>
      <c r="J98" s="8" t="s">
        <v>29</v>
      </c>
      <c r="K98" s="8" t="s">
        <v>364</v>
      </c>
      <c r="L98" s="8" t="s">
        <v>365</v>
      </c>
      <c r="M98" s="12" t="s">
        <v>107</v>
      </c>
      <c r="N98" s="12" t="s">
        <v>37</v>
      </c>
      <c r="O98" s="19">
        <v>46107.275254629632</v>
      </c>
      <c r="P98" s="19">
        <v>46107.27847222222</v>
      </c>
      <c r="Q98" s="14">
        <f t="shared" si="0"/>
        <v>4.6333333267830312</v>
      </c>
      <c r="R98" s="19">
        <v>46107.27847222222</v>
      </c>
      <c r="S98" s="19">
        <v>46107.289953703701</v>
      </c>
      <c r="T98" s="14">
        <f t="shared" si="1"/>
        <v>16.533333332045004</v>
      </c>
      <c r="U98" s="14">
        <f t="shared" si="2"/>
        <v>21.166666658828035</v>
      </c>
      <c r="V98" s="11" t="s">
        <v>317</v>
      </c>
      <c r="W98" s="24" t="s">
        <v>39</v>
      </c>
      <c r="X98" s="10" t="s">
        <v>40</v>
      </c>
      <c r="Y98" s="10" t="s">
        <v>41</v>
      </c>
      <c r="Z98" s="15" t="s">
        <v>42</v>
      </c>
      <c r="AA98" s="12" t="s">
        <v>43</v>
      </c>
      <c r="AB98" s="8" t="s">
        <v>29</v>
      </c>
    </row>
    <row r="99" spans="1:28" ht="28.5" x14ac:dyDescent="0.2">
      <c r="A99" s="8">
        <v>98</v>
      </c>
      <c r="B99" s="21" t="s">
        <v>463</v>
      </c>
      <c r="C99" s="15" t="s">
        <v>28</v>
      </c>
      <c r="D99" s="26">
        <v>46107</v>
      </c>
      <c r="E99" s="8" t="s">
        <v>333</v>
      </c>
      <c r="F99" s="12" t="s">
        <v>184</v>
      </c>
      <c r="G99" s="8" t="s">
        <v>55</v>
      </c>
      <c r="H99" s="8" t="s">
        <v>464</v>
      </c>
      <c r="I99" s="8" t="s">
        <v>465</v>
      </c>
      <c r="J99" s="8" t="s">
        <v>29</v>
      </c>
      <c r="K99" s="8" t="s">
        <v>29</v>
      </c>
      <c r="L99" s="8" t="s">
        <v>466</v>
      </c>
      <c r="M99" s="12" t="s">
        <v>107</v>
      </c>
      <c r="N99" s="12" t="s">
        <v>37</v>
      </c>
      <c r="O99" s="19">
        <v>46107.462430555555</v>
      </c>
      <c r="P99" s="19">
        <v>46107.464583333334</v>
      </c>
      <c r="Q99" s="14">
        <f t="shared" si="0"/>
        <v>3.1000000017229468</v>
      </c>
      <c r="R99" s="19">
        <v>46107.464583333334</v>
      </c>
      <c r="S99" s="19">
        <v>46107.483252314814</v>
      </c>
      <c r="T99" s="14">
        <f t="shared" si="1"/>
        <v>26.883333331206813</v>
      </c>
      <c r="U99" s="14">
        <f t="shared" si="2"/>
        <v>29.98333333292976</v>
      </c>
      <c r="V99" s="8" t="s">
        <v>467</v>
      </c>
      <c r="W99" s="24" t="s">
        <v>39</v>
      </c>
      <c r="X99" s="10" t="s">
        <v>40</v>
      </c>
      <c r="Y99" s="15" t="s">
        <v>41</v>
      </c>
      <c r="Z99" s="8" t="s">
        <v>437</v>
      </c>
      <c r="AA99" s="12" t="s">
        <v>43</v>
      </c>
      <c r="AB99" s="8" t="s">
        <v>468</v>
      </c>
    </row>
    <row r="100" spans="1:28" ht="28.5" x14ac:dyDescent="0.2">
      <c r="A100" s="8">
        <v>99</v>
      </c>
      <c r="B100" s="21" t="s">
        <v>469</v>
      </c>
      <c r="C100" s="15" t="s">
        <v>28</v>
      </c>
      <c r="D100" s="26">
        <v>46107</v>
      </c>
      <c r="E100" s="8" t="s">
        <v>333</v>
      </c>
      <c r="F100" s="12" t="s">
        <v>184</v>
      </c>
      <c r="G100" s="8" t="s">
        <v>55</v>
      </c>
      <c r="H100" s="8" t="s">
        <v>470</v>
      </c>
      <c r="I100" s="8" t="s">
        <v>462</v>
      </c>
      <c r="J100" s="8" t="s">
        <v>29</v>
      </c>
      <c r="K100" s="8" t="s">
        <v>364</v>
      </c>
      <c r="L100" s="8" t="s">
        <v>365</v>
      </c>
      <c r="M100" s="12" t="s">
        <v>107</v>
      </c>
      <c r="N100" s="12" t="s">
        <v>37</v>
      </c>
      <c r="O100" s="19">
        <v>46107.427268518521</v>
      </c>
      <c r="P100" s="19">
        <v>46107.430555555555</v>
      </c>
      <c r="Q100" s="14">
        <f t="shared" si="0"/>
        <v>4.7333333292044699</v>
      </c>
      <c r="R100" s="19">
        <v>46107.454861111109</v>
      </c>
      <c r="S100" s="19">
        <v>46107.463923611111</v>
      </c>
      <c r="T100" s="14">
        <f t="shared" si="1"/>
        <v>13.050000001676381</v>
      </c>
      <c r="U100" s="14">
        <f t="shared" si="2"/>
        <v>52.783333329716697</v>
      </c>
      <c r="V100" s="8" t="s">
        <v>471</v>
      </c>
      <c r="W100" s="24" t="s">
        <v>39</v>
      </c>
      <c r="X100" s="10" t="s">
        <v>40</v>
      </c>
      <c r="Y100" s="10" t="s">
        <v>41</v>
      </c>
      <c r="Z100" s="15" t="s">
        <v>42</v>
      </c>
      <c r="AA100" s="12" t="s">
        <v>43</v>
      </c>
      <c r="AB100" s="8" t="s">
        <v>367</v>
      </c>
    </row>
    <row r="101" spans="1:28" ht="28.5" x14ac:dyDescent="0.2">
      <c r="A101" s="8">
        <v>100</v>
      </c>
      <c r="B101" s="21" t="s">
        <v>472</v>
      </c>
      <c r="C101" s="15" t="s">
        <v>28</v>
      </c>
      <c r="D101" s="26">
        <v>46107</v>
      </c>
      <c r="E101" s="8" t="s">
        <v>333</v>
      </c>
      <c r="F101" s="12" t="s">
        <v>184</v>
      </c>
      <c r="G101" s="8" t="s">
        <v>55</v>
      </c>
      <c r="H101" s="8" t="s">
        <v>473</v>
      </c>
      <c r="I101" s="8" t="s">
        <v>462</v>
      </c>
      <c r="J101" s="8" t="s">
        <v>29</v>
      </c>
      <c r="K101" s="8" t="s">
        <v>364</v>
      </c>
      <c r="L101" s="8" t="s">
        <v>365</v>
      </c>
      <c r="M101" s="12" t="s">
        <v>107</v>
      </c>
      <c r="N101" s="12" t="s">
        <v>37</v>
      </c>
      <c r="O101" s="19">
        <v>46107.5233912037</v>
      </c>
      <c r="P101" s="19">
        <v>46107.52616898148</v>
      </c>
      <c r="Q101" s="14">
        <f t="shared" si="0"/>
        <v>4.0000000025611371</v>
      </c>
      <c r="R101" s="19">
        <v>46107.52616898148</v>
      </c>
      <c r="S101" s="19">
        <v>46107.533460648148</v>
      </c>
      <c r="T101" s="14">
        <f t="shared" si="1"/>
        <v>10.500000002793968</v>
      </c>
      <c r="U101" s="14">
        <f t="shared" si="2"/>
        <v>14.500000005355105</v>
      </c>
      <c r="V101" s="8" t="s">
        <v>474</v>
      </c>
      <c r="W101" s="24" t="s">
        <v>39</v>
      </c>
      <c r="X101" s="10" t="s">
        <v>40</v>
      </c>
      <c r="Y101" s="10" t="s">
        <v>41</v>
      </c>
      <c r="Z101" s="15" t="s">
        <v>42</v>
      </c>
      <c r="AA101" s="12" t="s">
        <v>43</v>
      </c>
      <c r="AB101" s="8" t="s">
        <v>367</v>
      </c>
    </row>
    <row r="102" spans="1:28" ht="28.5" x14ac:dyDescent="0.2">
      <c r="A102" s="8">
        <v>101</v>
      </c>
      <c r="B102" s="21" t="s">
        <v>475</v>
      </c>
      <c r="C102" s="15" t="s">
        <v>28</v>
      </c>
      <c r="D102" s="26">
        <v>46107</v>
      </c>
      <c r="E102" s="8" t="s">
        <v>265</v>
      </c>
      <c r="F102" s="12" t="s">
        <v>184</v>
      </c>
      <c r="G102" s="8" t="s">
        <v>55</v>
      </c>
      <c r="H102" s="8" t="s">
        <v>272</v>
      </c>
      <c r="I102" s="8" t="s">
        <v>96</v>
      </c>
      <c r="J102" s="8" t="s">
        <v>29</v>
      </c>
      <c r="K102" s="8" t="s">
        <v>29</v>
      </c>
      <c r="L102" s="8" t="s">
        <v>476</v>
      </c>
      <c r="M102" s="8" t="s">
        <v>36</v>
      </c>
      <c r="N102" s="8" t="s">
        <v>37</v>
      </c>
      <c r="O102" s="19">
        <v>46107.718252314815</v>
      </c>
      <c r="P102" s="19">
        <v>46107.719444444447</v>
      </c>
      <c r="Q102" s="14">
        <f t="shared" si="0"/>
        <v>1.7166666698176414</v>
      </c>
      <c r="R102" s="19">
        <v>46107.718252314815</v>
      </c>
      <c r="S102" s="19">
        <v>46107.719814814816</v>
      </c>
      <c r="T102" s="14">
        <f t="shared" si="1"/>
        <v>2.2500000020954758</v>
      </c>
      <c r="U102" s="14">
        <f t="shared" si="2"/>
        <v>2.2500000020954758</v>
      </c>
      <c r="V102" s="8" t="s">
        <v>279</v>
      </c>
      <c r="W102" s="24" t="s">
        <v>39</v>
      </c>
      <c r="X102" s="12" t="s">
        <v>66</v>
      </c>
      <c r="Y102" s="8" t="s">
        <v>67</v>
      </c>
      <c r="Z102" s="8" t="s">
        <v>67</v>
      </c>
      <c r="AA102" s="12" t="s">
        <v>43</v>
      </c>
      <c r="AB102" s="8" t="s">
        <v>29</v>
      </c>
    </row>
    <row r="103" spans="1:28" ht="28.5" x14ac:dyDescent="0.2">
      <c r="A103" s="8">
        <v>102</v>
      </c>
      <c r="B103" s="21" t="s">
        <v>477</v>
      </c>
      <c r="C103" s="15" t="s">
        <v>28</v>
      </c>
      <c r="D103" s="26">
        <v>46107</v>
      </c>
      <c r="E103" s="8" t="s">
        <v>265</v>
      </c>
      <c r="F103" s="12" t="s">
        <v>184</v>
      </c>
      <c r="G103" s="8" t="s">
        <v>55</v>
      </c>
      <c r="H103" s="8" t="s">
        <v>478</v>
      </c>
      <c r="I103" s="8" t="s">
        <v>479</v>
      </c>
      <c r="J103" s="8" t="s">
        <v>29</v>
      </c>
      <c r="K103" s="8" t="s">
        <v>29</v>
      </c>
      <c r="L103" s="8" t="s">
        <v>480</v>
      </c>
      <c r="M103" s="8" t="s">
        <v>36</v>
      </c>
      <c r="N103" s="8" t="s">
        <v>37</v>
      </c>
      <c r="O103" s="19">
        <v>46107.693124999998</v>
      </c>
      <c r="P103" s="19">
        <v>46107.694444444445</v>
      </c>
      <c r="Q103" s="14">
        <f t="shared" si="0"/>
        <v>1.9000000040978193</v>
      </c>
      <c r="R103" s="19">
        <v>46107.745833333334</v>
      </c>
      <c r="S103" s="19">
        <v>46107.763113425928</v>
      </c>
      <c r="T103" s="14">
        <f t="shared" si="1"/>
        <v>24.883333335164934</v>
      </c>
      <c r="U103" s="14">
        <f t="shared" si="2"/>
        <v>100.78333333949558</v>
      </c>
      <c r="V103" s="8" t="s">
        <v>481</v>
      </c>
      <c r="W103" s="24" t="s">
        <v>39</v>
      </c>
      <c r="X103" s="10" t="s">
        <v>40</v>
      </c>
      <c r="Y103" s="10" t="s">
        <v>373</v>
      </c>
      <c r="Z103" s="10" t="s">
        <v>374</v>
      </c>
      <c r="AA103" s="8" t="s">
        <v>43</v>
      </c>
      <c r="AB103" s="8" t="s">
        <v>482</v>
      </c>
    </row>
    <row r="104" spans="1:28" ht="28.5" x14ac:dyDescent="0.2">
      <c r="A104" s="8">
        <v>103</v>
      </c>
      <c r="B104" s="21" t="s">
        <v>483</v>
      </c>
      <c r="C104" s="15" t="s">
        <v>28</v>
      </c>
      <c r="D104" s="26">
        <v>46107</v>
      </c>
      <c r="E104" s="8" t="s">
        <v>265</v>
      </c>
      <c r="F104" s="12" t="s">
        <v>184</v>
      </c>
      <c r="G104" s="8" t="s">
        <v>55</v>
      </c>
      <c r="H104" s="8" t="s">
        <v>484</v>
      </c>
      <c r="I104" s="8" t="s">
        <v>485</v>
      </c>
      <c r="J104" s="8" t="s">
        <v>29</v>
      </c>
      <c r="K104" s="8" t="s">
        <v>29</v>
      </c>
      <c r="L104" s="8" t="s">
        <v>486</v>
      </c>
      <c r="M104" s="8" t="s">
        <v>36</v>
      </c>
      <c r="N104" s="8" t="s">
        <v>37</v>
      </c>
      <c r="O104" s="19">
        <v>46107.740532407406</v>
      </c>
      <c r="P104" s="19">
        <v>46107.742361111108</v>
      </c>
      <c r="Q104" s="14">
        <f t="shared" si="0"/>
        <v>2.6333333307411522</v>
      </c>
      <c r="R104" s="19">
        <v>46107.814583333333</v>
      </c>
      <c r="S104" s="19">
        <v>46107.971782407411</v>
      </c>
      <c r="T104" s="14">
        <f t="shared" si="1"/>
        <v>226.36666667181998</v>
      </c>
      <c r="U104" s="14">
        <f t="shared" si="2"/>
        <v>333.00000000628643</v>
      </c>
      <c r="V104" s="8" t="s">
        <v>487</v>
      </c>
      <c r="W104" s="24" t="s">
        <v>39</v>
      </c>
      <c r="X104" s="10" t="s">
        <v>40</v>
      </c>
      <c r="Y104" s="15" t="s">
        <v>488</v>
      </c>
      <c r="Z104" s="15" t="s">
        <v>489</v>
      </c>
      <c r="AA104" s="8" t="s">
        <v>43</v>
      </c>
      <c r="AB104" s="8" t="s">
        <v>482</v>
      </c>
    </row>
    <row r="105" spans="1:28" ht="28.5" x14ac:dyDescent="0.2">
      <c r="A105" s="8">
        <v>104</v>
      </c>
      <c r="B105" s="21" t="s">
        <v>490</v>
      </c>
      <c r="C105" s="15" t="s">
        <v>28</v>
      </c>
      <c r="D105" s="26">
        <v>46107</v>
      </c>
      <c r="E105" s="8" t="s">
        <v>265</v>
      </c>
      <c r="F105" s="12" t="s">
        <v>184</v>
      </c>
      <c r="G105" s="8" t="s">
        <v>55</v>
      </c>
      <c r="H105" s="8" t="s">
        <v>491</v>
      </c>
      <c r="I105" s="8" t="s">
        <v>492</v>
      </c>
      <c r="J105" s="8" t="s">
        <v>29</v>
      </c>
      <c r="K105" s="8" t="s">
        <v>29</v>
      </c>
      <c r="L105" s="8" t="s">
        <v>493</v>
      </c>
      <c r="M105" s="8" t="s">
        <v>36</v>
      </c>
      <c r="N105" s="8" t="s">
        <v>37</v>
      </c>
      <c r="O105" s="19">
        <v>46107.732939814814</v>
      </c>
      <c r="P105" s="19">
        <v>46107.736111111109</v>
      </c>
      <c r="Q105" s="14">
        <f t="shared" si="0"/>
        <v>4.5666666654869914</v>
      </c>
      <c r="R105" s="19">
        <v>46107.834722222222</v>
      </c>
      <c r="S105" s="19">
        <v>46107.844340277778</v>
      </c>
      <c r="T105" s="14">
        <f t="shared" si="1"/>
        <v>13.850000000093132</v>
      </c>
      <c r="U105" s="14">
        <f t="shared" si="2"/>
        <v>160.41666666744277</v>
      </c>
      <c r="V105" s="8" t="s">
        <v>481</v>
      </c>
      <c r="W105" s="24" t="s">
        <v>39</v>
      </c>
      <c r="X105" s="10" t="s">
        <v>40</v>
      </c>
      <c r="Y105" s="10" t="s">
        <v>373</v>
      </c>
      <c r="Z105" s="10" t="s">
        <v>374</v>
      </c>
      <c r="AA105" s="8" t="s">
        <v>43</v>
      </c>
      <c r="AB105" s="8" t="s">
        <v>494</v>
      </c>
    </row>
    <row r="106" spans="1:28" ht="28.5" x14ac:dyDescent="0.2">
      <c r="A106" s="8">
        <v>105</v>
      </c>
      <c r="B106" s="21" t="s">
        <v>495</v>
      </c>
      <c r="C106" s="15" t="s">
        <v>28</v>
      </c>
      <c r="D106" s="26">
        <v>46107</v>
      </c>
      <c r="E106" s="8" t="s">
        <v>265</v>
      </c>
      <c r="F106" s="12" t="s">
        <v>184</v>
      </c>
      <c r="G106" s="8" t="s">
        <v>55</v>
      </c>
      <c r="H106" s="8" t="s">
        <v>496</v>
      </c>
      <c r="I106" s="8" t="s">
        <v>218</v>
      </c>
      <c r="J106" s="8" t="s">
        <v>29</v>
      </c>
      <c r="K106" s="8" t="s">
        <v>29</v>
      </c>
      <c r="L106" s="8" t="s">
        <v>497</v>
      </c>
      <c r="M106" s="8" t="s">
        <v>36</v>
      </c>
      <c r="N106" s="8" t="s">
        <v>37</v>
      </c>
      <c r="O106" s="19">
        <v>46107.761655092596</v>
      </c>
      <c r="P106" s="19">
        <v>46107.762499999997</v>
      </c>
      <c r="Q106" s="14">
        <f t="shared" si="0"/>
        <v>1.2166666577104479</v>
      </c>
      <c r="R106" s="19">
        <v>46107.867361111108</v>
      </c>
      <c r="S106" s="19">
        <v>46107.885740740741</v>
      </c>
      <c r="T106" s="14">
        <f t="shared" si="1"/>
        <v>26.466666671913117</v>
      </c>
      <c r="U106" s="14">
        <f t="shared" si="2"/>
        <v>178.68333332939073</v>
      </c>
      <c r="V106" s="8" t="s">
        <v>498</v>
      </c>
      <c r="W106" s="24" t="s">
        <v>39</v>
      </c>
      <c r="X106" s="10" t="s">
        <v>40</v>
      </c>
      <c r="Y106" s="10" t="s">
        <v>373</v>
      </c>
      <c r="Z106" s="10" t="s">
        <v>374</v>
      </c>
      <c r="AA106" s="8" t="s">
        <v>43</v>
      </c>
      <c r="AB106" s="8" t="s">
        <v>499</v>
      </c>
    </row>
    <row r="107" spans="1:28" ht="28.5" x14ac:dyDescent="0.2">
      <c r="A107" s="8">
        <v>106</v>
      </c>
      <c r="B107" s="21" t="s">
        <v>500</v>
      </c>
      <c r="C107" s="15" t="s">
        <v>28</v>
      </c>
      <c r="D107" s="26">
        <v>46107</v>
      </c>
      <c r="E107" s="8" t="s">
        <v>265</v>
      </c>
      <c r="F107" s="12" t="s">
        <v>184</v>
      </c>
      <c r="G107" s="8" t="s">
        <v>55</v>
      </c>
      <c r="H107" s="8" t="s">
        <v>501</v>
      </c>
      <c r="I107" s="8" t="s">
        <v>45</v>
      </c>
      <c r="J107" s="8" t="s">
        <v>29</v>
      </c>
      <c r="K107" s="8" t="s">
        <v>29</v>
      </c>
      <c r="L107" s="8" t="s">
        <v>502</v>
      </c>
      <c r="M107" s="8" t="s">
        <v>36</v>
      </c>
      <c r="N107" s="8" t="s">
        <v>37</v>
      </c>
      <c r="O107" s="19">
        <v>46107.763692129629</v>
      </c>
      <c r="P107" s="19">
        <v>46107.76458333333</v>
      </c>
      <c r="Q107" s="14">
        <f t="shared" si="0"/>
        <v>1.2833333294838667</v>
      </c>
      <c r="R107" s="19">
        <v>46107.815972222219</v>
      </c>
      <c r="S107" s="19">
        <v>46107.835902777777</v>
      </c>
      <c r="T107" s="14">
        <f t="shared" si="1"/>
        <v>28.700000003445894</v>
      </c>
      <c r="U107" s="14">
        <f t="shared" si="2"/>
        <v>103.98333333316259</v>
      </c>
      <c r="V107" s="8" t="s">
        <v>498</v>
      </c>
      <c r="W107" s="24" t="s">
        <v>39</v>
      </c>
      <c r="X107" s="10" t="s">
        <v>40</v>
      </c>
      <c r="Y107" s="10" t="s">
        <v>373</v>
      </c>
      <c r="Z107" s="10" t="s">
        <v>374</v>
      </c>
      <c r="AA107" s="8" t="s">
        <v>43</v>
      </c>
      <c r="AB107" s="8" t="s">
        <v>499</v>
      </c>
    </row>
    <row r="108" spans="1:28" ht="14.25" x14ac:dyDescent="0.2">
      <c r="A108" s="8">
        <v>107</v>
      </c>
      <c r="B108" s="21" t="s">
        <v>503</v>
      </c>
      <c r="C108" s="15" t="s">
        <v>28</v>
      </c>
      <c r="D108" s="26">
        <v>46107</v>
      </c>
      <c r="E108" s="8" t="s">
        <v>265</v>
      </c>
      <c r="F108" s="8" t="s">
        <v>60</v>
      </c>
      <c r="G108" s="8" t="s">
        <v>504</v>
      </c>
      <c r="H108" s="8" t="s">
        <v>505</v>
      </c>
      <c r="I108" s="8" t="s">
        <v>234</v>
      </c>
      <c r="J108" s="8" t="s">
        <v>29</v>
      </c>
      <c r="K108" s="8" t="s">
        <v>29</v>
      </c>
      <c r="L108" s="8" t="s">
        <v>506</v>
      </c>
      <c r="M108" s="8" t="s">
        <v>36</v>
      </c>
      <c r="N108" s="8" t="s">
        <v>37</v>
      </c>
      <c r="O108" s="19">
        <v>46107.769432870373</v>
      </c>
      <c r="P108" s="19">
        <v>46107.775694444441</v>
      </c>
      <c r="Q108" s="14">
        <f t="shared" si="0"/>
        <v>9.0166666579898447</v>
      </c>
      <c r="R108" s="19">
        <v>46107.818749999999</v>
      </c>
      <c r="S108" s="19">
        <v>46107.988946759258</v>
      </c>
      <c r="T108" s="14">
        <f t="shared" si="1"/>
        <v>245.08333333418705</v>
      </c>
      <c r="U108" s="14">
        <f t="shared" si="2"/>
        <v>316.09999999520369</v>
      </c>
      <c r="V108" s="8" t="s">
        <v>507</v>
      </c>
      <c r="W108" s="24" t="s">
        <v>39</v>
      </c>
      <c r="X108" s="10" t="s">
        <v>40</v>
      </c>
      <c r="Y108" s="15" t="s">
        <v>488</v>
      </c>
      <c r="Z108" s="15" t="s">
        <v>489</v>
      </c>
      <c r="AA108" s="8" t="s">
        <v>43</v>
      </c>
      <c r="AB108" s="8" t="s">
        <v>499</v>
      </c>
    </row>
    <row r="109" spans="1:28" ht="28.5" x14ac:dyDescent="0.2">
      <c r="A109" s="8">
        <v>108</v>
      </c>
      <c r="B109" s="21" t="s">
        <v>508</v>
      </c>
      <c r="C109" s="15" t="s">
        <v>28</v>
      </c>
      <c r="D109" s="26">
        <v>46107</v>
      </c>
      <c r="E109" s="8" t="s">
        <v>265</v>
      </c>
      <c r="F109" s="12" t="s">
        <v>184</v>
      </c>
      <c r="G109" s="8" t="s">
        <v>55</v>
      </c>
      <c r="H109" s="8" t="s">
        <v>501</v>
      </c>
      <c r="I109" s="8" t="s">
        <v>509</v>
      </c>
      <c r="J109" s="8" t="s">
        <v>29</v>
      </c>
      <c r="K109" s="8" t="s">
        <v>29</v>
      </c>
      <c r="L109" s="8" t="s">
        <v>510</v>
      </c>
      <c r="M109" s="12" t="s">
        <v>107</v>
      </c>
      <c r="N109" s="12" t="s">
        <v>37</v>
      </c>
      <c r="O109" s="19">
        <v>46107.783645833333</v>
      </c>
      <c r="P109" s="19">
        <v>46107.786805555559</v>
      </c>
      <c r="Q109" s="14">
        <f t="shared" si="0"/>
        <v>4.5500000054016709</v>
      </c>
      <c r="R109" s="19">
        <v>46107.896527777775</v>
      </c>
      <c r="S109" s="19">
        <v>46107.921319444446</v>
      </c>
      <c r="T109" s="14">
        <f t="shared" si="1"/>
        <v>35.700000005308539</v>
      </c>
      <c r="U109" s="14">
        <f t="shared" si="2"/>
        <v>198.25000000186265</v>
      </c>
      <c r="V109" s="8" t="s">
        <v>511</v>
      </c>
      <c r="W109" s="24" t="s">
        <v>39</v>
      </c>
      <c r="X109" s="10" t="s">
        <v>40</v>
      </c>
      <c r="Y109" s="10" t="s">
        <v>373</v>
      </c>
      <c r="Z109" s="10" t="s">
        <v>374</v>
      </c>
      <c r="AA109" s="8" t="s">
        <v>43</v>
      </c>
      <c r="AB109" s="8" t="s">
        <v>512</v>
      </c>
    </row>
    <row r="110" spans="1:28" ht="14.25" x14ac:dyDescent="0.2">
      <c r="A110" s="8">
        <v>109</v>
      </c>
      <c r="B110" s="21" t="s">
        <v>513</v>
      </c>
      <c r="C110" s="15" t="s">
        <v>28</v>
      </c>
      <c r="D110" s="26">
        <v>46107</v>
      </c>
      <c r="E110" s="8" t="s">
        <v>265</v>
      </c>
      <c r="F110" s="8" t="s">
        <v>514</v>
      </c>
      <c r="G110" s="8" t="s">
        <v>515</v>
      </c>
      <c r="H110" s="8" t="s">
        <v>516</v>
      </c>
      <c r="I110" s="8" t="s">
        <v>414</v>
      </c>
      <c r="J110" s="8" t="s">
        <v>29</v>
      </c>
      <c r="K110" s="8" t="s">
        <v>29</v>
      </c>
      <c r="L110" s="8" t="s">
        <v>415</v>
      </c>
      <c r="M110" s="8" t="s">
        <v>36</v>
      </c>
      <c r="N110" s="8" t="s">
        <v>37</v>
      </c>
      <c r="O110" s="19">
        <v>46107.927395833336</v>
      </c>
      <c r="P110" s="19">
        <v>46107.934027777781</v>
      </c>
      <c r="Q110" s="14">
        <f t="shared" si="0"/>
        <v>9.5500000007450581</v>
      </c>
      <c r="R110" s="19">
        <v>46107.929166666669</v>
      </c>
      <c r="S110" s="19">
        <v>46108.010185185187</v>
      </c>
      <c r="T110" s="14">
        <f t="shared" si="1"/>
        <v>116.66666666627862</v>
      </c>
      <c r="U110" s="14">
        <f t="shared" si="2"/>
        <v>119.21666666516103</v>
      </c>
      <c r="V110" s="8" t="s">
        <v>517</v>
      </c>
      <c r="W110" s="24" t="s">
        <v>39</v>
      </c>
      <c r="X110" s="10" t="s">
        <v>40</v>
      </c>
      <c r="Y110" s="10" t="s">
        <v>373</v>
      </c>
      <c r="Z110" s="10" t="s">
        <v>374</v>
      </c>
      <c r="AA110" s="8" t="s">
        <v>518</v>
      </c>
      <c r="AB110" s="8" t="s">
        <v>512</v>
      </c>
    </row>
    <row r="111" spans="1:28" ht="42.75" x14ac:dyDescent="0.2">
      <c r="A111" s="8">
        <v>110</v>
      </c>
      <c r="B111" s="21" t="s">
        <v>519</v>
      </c>
      <c r="C111" s="15" t="s">
        <v>28</v>
      </c>
      <c r="D111" s="26">
        <v>46109</v>
      </c>
      <c r="E111" s="8" t="s">
        <v>290</v>
      </c>
      <c r="F111" s="8" t="s">
        <v>60</v>
      </c>
      <c r="G111" s="8" t="s">
        <v>520</v>
      </c>
      <c r="H111" s="8" t="s">
        <v>521</v>
      </c>
      <c r="I111" s="12" t="s">
        <v>522</v>
      </c>
      <c r="J111" s="8" t="s">
        <v>29</v>
      </c>
      <c r="K111" s="8" t="s">
        <v>29</v>
      </c>
      <c r="L111" s="8" t="s">
        <v>523</v>
      </c>
      <c r="M111" s="12" t="s">
        <v>107</v>
      </c>
      <c r="N111" s="8" t="s">
        <v>37</v>
      </c>
      <c r="O111" s="19">
        <v>46109.98269675926</v>
      </c>
      <c r="P111" s="19">
        <v>46109.98510416667</v>
      </c>
      <c r="Q111" s="14">
        <f t="shared" si="0"/>
        <v>3.4666666702833027</v>
      </c>
      <c r="R111" s="19">
        <v>46109.98510416667</v>
      </c>
      <c r="S111" s="19">
        <v>46109.98510416667</v>
      </c>
      <c r="T111" s="14">
        <f t="shared" si="1"/>
        <v>0</v>
      </c>
      <c r="U111" s="14">
        <f t="shared" si="2"/>
        <v>3.4666666702833027</v>
      </c>
      <c r="V111" s="8" t="s">
        <v>524</v>
      </c>
      <c r="W111" s="24" t="s">
        <v>39</v>
      </c>
      <c r="X111" s="12" t="s">
        <v>66</v>
      </c>
      <c r="Y111" s="15" t="s">
        <v>67</v>
      </c>
      <c r="Z111" s="15" t="s">
        <v>67</v>
      </c>
      <c r="AA111" s="8" t="s">
        <v>518</v>
      </c>
      <c r="AB111" s="8" t="s">
        <v>29</v>
      </c>
    </row>
    <row r="112" spans="1:28" ht="28.5" x14ac:dyDescent="0.2">
      <c r="A112" s="8">
        <v>111</v>
      </c>
      <c r="B112" s="21" t="s">
        <v>525</v>
      </c>
      <c r="C112" s="15" t="s">
        <v>28</v>
      </c>
      <c r="D112" s="26">
        <v>46109</v>
      </c>
      <c r="E112" s="8" t="s">
        <v>290</v>
      </c>
      <c r="F112" s="12" t="s">
        <v>184</v>
      </c>
      <c r="G112" s="8" t="s">
        <v>55</v>
      </c>
      <c r="H112" s="20" t="s">
        <v>400</v>
      </c>
      <c r="I112" s="8" t="s">
        <v>526</v>
      </c>
      <c r="J112" s="8" t="s">
        <v>29</v>
      </c>
      <c r="K112" s="8" t="s">
        <v>29</v>
      </c>
      <c r="L112" s="27"/>
      <c r="M112" s="12" t="s">
        <v>107</v>
      </c>
      <c r="N112" s="8" t="s">
        <v>37</v>
      </c>
      <c r="O112" s="19">
        <v>46110.073136574072</v>
      </c>
      <c r="P112" s="19">
        <v>46110.074976851851</v>
      </c>
      <c r="Q112" s="14">
        <f t="shared" si="0"/>
        <v>2.6500000013038516</v>
      </c>
      <c r="R112" s="19">
        <v>46110.074976851851</v>
      </c>
      <c r="S112" s="19">
        <v>46110.075381944444</v>
      </c>
      <c r="T112" s="14">
        <f t="shared" si="1"/>
        <v>0.58333333348855376</v>
      </c>
      <c r="U112" s="14">
        <f t="shared" si="2"/>
        <v>3.2333333347924054</v>
      </c>
      <c r="V112" s="11" t="s">
        <v>527</v>
      </c>
      <c r="W112" s="24" t="s">
        <v>39</v>
      </c>
      <c r="X112" s="12" t="s">
        <v>66</v>
      </c>
      <c r="Y112" s="15" t="s">
        <v>67</v>
      </c>
      <c r="Z112" s="15" t="s">
        <v>67</v>
      </c>
      <c r="AA112" s="8" t="s">
        <v>43</v>
      </c>
      <c r="AB112" s="8" t="s">
        <v>29</v>
      </c>
    </row>
    <row r="113" spans="1:28" ht="28.5" x14ac:dyDescent="0.2">
      <c r="A113" s="8">
        <v>112</v>
      </c>
      <c r="B113" s="21" t="s">
        <v>528</v>
      </c>
      <c r="C113" s="15" t="s">
        <v>28</v>
      </c>
      <c r="D113" s="26">
        <v>46109</v>
      </c>
      <c r="E113" s="8" t="s">
        <v>290</v>
      </c>
      <c r="F113" s="12" t="s">
        <v>184</v>
      </c>
      <c r="G113" s="8" t="s">
        <v>55</v>
      </c>
      <c r="H113" s="8" t="s">
        <v>400</v>
      </c>
      <c r="I113" s="8" t="s">
        <v>529</v>
      </c>
      <c r="J113" s="8" t="s">
        <v>29</v>
      </c>
      <c r="K113" s="8" t="s">
        <v>29</v>
      </c>
      <c r="L113" s="8" t="s">
        <v>530</v>
      </c>
      <c r="M113" s="12" t="s">
        <v>107</v>
      </c>
      <c r="N113" s="8" t="s">
        <v>37</v>
      </c>
      <c r="O113" s="19">
        <v>46110.073136574072</v>
      </c>
      <c r="P113" s="19">
        <v>46110.074594907404</v>
      </c>
      <c r="Q113" s="14">
        <f t="shared" si="0"/>
        <v>2.0999999984633178</v>
      </c>
      <c r="R113" s="19">
        <v>46110.074594907404</v>
      </c>
      <c r="S113" s="19">
        <v>46110.077245370368</v>
      </c>
      <c r="T113" s="14">
        <f t="shared" si="1"/>
        <v>3.8166666682809591</v>
      </c>
      <c r="U113" s="14">
        <f t="shared" si="2"/>
        <v>5.9166666667442769</v>
      </c>
      <c r="V113" s="11" t="s">
        <v>317</v>
      </c>
      <c r="W113" s="24" t="s">
        <v>39</v>
      </c>
      <c r="X113" s="12" t="s">
        <v>66</v>
      </c>
      <c r="Y113" s="15" t="s">
        <v>67</v>
      </c>
      <c r="Z113" s="15" t="s">
        <v>67</v>
      </c>
      <c r="AA113" s="8" t="s">
        <v>43</v>
      </c>
      <c r="AB113" s="8" t="s">
        <v>29</v>
      </c>
    </row>
    <row r="114" spans="1:28" ht="28.5" x14ac:dyDescent="0.2">
      <c r="A114" s="8">
        <v>113</v>
      </c>
      <c r="B114" s="21" t="s">
        <v>531</v>
      </c>
      <c r="C114" s="15" t="s">
        <v>28</v>
      </c>
      <c r="D114" s="26">
        <v>46109</v>
      </c>
      <c r="E114" s="8" t="s">
        <v>290</v>
      </c>
      <c r="F114" s="12" t="s">
        <v>184</v>
      </c>
      <c r="G114" s="8" t="s">
        <v>55</v>
      </c>
      <c r="H114" s="8" t="s">
        <v>400</v>
      </c>
      <c r="I114" s="8" t="s">
        <v>532</v>
      </c>
      <c r="J114" s="8" t="s">
        <v>29</v>
      </c>
      <c r="K114" s="8" t="s">
        <v>29</v>
      </c>
      <c r="L114" s="8" t="s">
        <v>533</v>
      </c>
      <c r="M114" s="12" t="s">
        <v>107</v>
      </c>
      <c r="N114" s="8" t="s">
        <v>37</v>
      </c>
      <c r="O114" s="19">
        <v>46110.073136574072</v>
      </c>
      <c r="P114" s="19">
        <v>46110.074594907404</v>
      </c>
      <c r="Q114" s="14">
        <f t="shared" si="0"/>
        <v>2.0999999984633178</v>
      </c>
      <c r="R114" s="19">
        <v>46110.074594907404</v>
      </c>
      <c r="S114" s="19">
        <v>46110.077245370368</v>
      </c>
      <c r="T114" s="14">
        <f t="shared" si="1"/>
        <v>3.8166666682809591</v>
      </c>
      <c r="U114" s="14">
        <f t="shared" si="2"/>
        <v>5.9166666667442769</v>
      </c>
      <c r="V114" s="11" t="s">
        <v>317</v>
      </c>
      <c r="W114" s="24" t="s">
        <v>39</v>
      </c>
      <c r="X114" s="12" t="s">
        <v>66</v>
      </c>
      <c r="Y114" s="15" t="s">
        <v>67</v>
      </c>
      <c r="Z114" s="15" t="s">
        <v>67</v>
      </c>
      <c r="AA114" s="8" t="s">
        <v>43</v>
      </c>
      <c r="AB114" s="8" t="s">
        <v>29</v>
      </c>
    </row>
    <row r="115" spans="1:28" ht="28.5" x14ac:dyDescent="0.2">
      <c r="A115" s="8">
        <v>114</v>
      </c>
      <c r="B115" s="21" t="s">
        <v>534</v>
      </c>
      <c r="C115" s="15" t="s">
        <v>28</v>
      </c>
      <c r="D115" s="26">
        <v>46109</v>
      </c>
      <c r="E115" s="8" t="s">
        <v>290</v>
      </c>
      <c r="F115" s="12" t="s">
        <v>184</v>
      </c>
      <c r="G115" s="8" t="s">
        <v>55</v>
      </c>
      <c r="H115" s="8" t="s">
        <v>400</v>
      </c>
      <c r="I115" s="8" t="s">
        <v>535</v>
      </c>
      <c r="J115" s="8" t="s">
        <v>29</v>
      </c>
      <c r="K115" s="8" t="s">
        <v>29</v>
      </c>
      <c r="L115" s="8" t="s">
        <v>536</v>
      </c>
      <c r="M115" s="12" t="s">
        <v>107</v>
      </c>
      <c r="N115" s="8" t="s">
        <v>37</v>
      </c>
      <c r="O115" s="19">
        <v>46110.073136574072</v>
      </c>
      <c r="P115" s="19">
        <v>46110.074594907404</v>
      </c>
      <c r="Q115" s="14">
        <f t="shared" si="0"/>
        <v>2.0999999984633178</v>
      </c>
      <c r="R115" s="19">
        <v>46110.074594907404</v>
      </c>
      <c r="S115" s="19">
        <v>46110.077245370368</v>
      </c>
      <c r="T115" s="14">
        <f t="shared" si="1"/>
        <v>3.8166666682809591</v>
      </c>
      <c r="U115" s="14">
        <f t="shared" si="2"/>
        <v>5.9166666667442769</v>
      </c>
      <c r="V115" s="11" t="s">
        <v>317</v>
      </c>
      <c r="W115" s="24" t="s">
        <v>39</v>
      </c>
      <c r="X115" s="12" t="s">
        <v>66</v>
      </c>
      <c r="Y115" s="15" t="s">
        <v>67</v>
      </c>
      <c r="Z115" s="15" t="s">
        <v>67</v>
      </c>
      <c r="AA115" s="8" t="s">
        <v>43</v>
      </c>
      <c r="AB115" s="8" t="s">
        <v>29</v>
      </c>
    </row>
    <row r="116" spans="1:28" ht="28.5" x14ac:dyDescent="0.2">
      <c r="A116" s="8">
        <v>115</v>
      </c>
      <c r="B116" s="21" t="s">
        <v>537</v>
      </c>
      <c r="C116" s="15" t="s">
        <v>28</v>
      </c>
      <c r="D116" s="26">
        <v>46110</v>
      </c>
      <c r="E116" s="8" t="s">
        <v>333</v>
      </c>
      <c r="F116" s="12" t="s">
        <v>184</v>
      </c>
      <c r="G116" s="8" t="s">
        <v>55</v>
      </c>
      <c r="H116" s="8" t="s">
        <v>400</v>
      </c>
      <c r="I116" s="8" t="s">
        <v>462</v>
      </c>
      <c r="J116" s="8" t="s">
        <v>29</v>
      </c>
      <c r="K116" s="8" t="s">
        <v>364</v>
      </c>
      <c r="L116" s="8" t="s">
        <v>365</v>
      </c>
      <c r="M116" s="12" t="s">
        <v>107</v>
      </c>
      <c r="N116" s="12" t="s">
        <v>37</v>
      </c>
      <c r="O116" s="19">
        <v>46110.392395833333</v>
      </c>
      <c r="P116" s="19">
        <v>46110.395138888889</v>
      </c>
      <c r="Q116" s="14">
        <f t="shared" si="0"/>
        <v>3.9500000013504177</v>
      </c>
      <c r="R116" s="19">
        <v>46110.395138888889</v>
      </c>
      <c r="S116" s="19">
        <v>46110.402777777781</v>
      </c>
      <c r="T116" s="14">
        <f t="shared" si="1"/>
        <v>11.000000004423782</v>
      </c>
      <c r="U116" s="14">
        <f t="shared" si="2"/>
        <v>14.9500000057742</v>
      </c>
      <c r="V116" s="11" t="s">
        <v>317</v>
      </c>
      <c r="W116" s="24" t="s">
        <v>39</v>
      </c>
      <c r="X116" s="10" t="s">
        <v>40</v>
      </c>
      <c r="Y116" s="10" t="s">
        <v>41</v>
      </c>
      <c r="Z116" s="15" t="s">
        <v>42</v>
      </c>
      <c r="AA116" s="12" t="s">
        <v>43</v>
      </c>
      <c r="AB116" s="8" t="s">
        <v>367</v>
      </c>
    </row>
    <row r="117" spans="1:28" ht="28.5" x14ac:dyDescent="0.2">
      <c r="A117" s="8">
        <v>116</v>
      </c>
      <c r="B117" s="21" t="s">
        <v>538</v>
      </c>
      <c r="C117" s="15" t="s">
        <v>28</v>
      </c>
      <c r="D117" s="26">
        <v>46110</v>
      </c>
      <c r="E117" s="8" t="s">
        <v>333</v>
      </c>
      <c r="F117" s="12" t="s">
        <v>184</v>
      </c>
      <c r="G117" s="8" t="s">
        <v>55</v>
      </c>
      <c r="H117" s="8" t="s">
        <v>400</v>
      </c>
      <c r="I117" s="8" t="s">
        <v>420</v>
      </c>
      <c r="J117" s="8" t="s">
        <v>29</v>
      </c>
      <c r="K117" s="8" t="s">
        <v>29</v>
      </c>
      <c r="L117" s="8" t="s">
        <v>450</v>
      </c>
      <c r="M117" s="8" t="s">
        <v>36</v>
      </c>
      <c r="N117" s="8" t="s">
        <v>37</v>
      </c>
      <c r="O117" s="19">
        <v>46110.402453703704</v>
      </c>
      <c r="P117" s="19">
        <v>46110.403483796297</v>
      </c>
      <c r="Q117" s="14">
        <f t="shared" si="0"/>
        <v>1.4833333343267441</v>
      </c>
      <c r="R117" s="19">
        <v>46110.403483796297</v>
      </c>
      <c r="S117" s="19">
        <v>46110.403981481482</v>
      </c>
      <c r="T117" s="14">
        <f t="shared" si="1"/>
        <v>0.71666666655801237</v>
      </c>
      <c r="U117" s="14">
        <f t="shared" si="2"/>
        <v>2.2000000008847564</v>
      </c>
      <c r="V117" s="11" t="s">
        <v>317</v>
      </c>
      <c r="W117" s="24" t="s">
        <v>39</v>
      </c>
      <c r="X117" s="12" t="s">
        <v>40</v>
      </c>
      <c r="Y117" s="10" t="s">
        <v>41</v>
      </c>
      <c r="Z117" s="15" t="s">
        <v>42</v>
      </c>
      <c r="AA117" s="8" t="s">
        <v>43</v>
      </c>
      <c r="AB117" s="8" t="s">
        <v>29</v>
      </c>
    </row>
    <row r="118" spans="1:28" ht="28.5" x14ac:dyDescent="0.2">
      <c r="A118" s="8">
        <v>117</v>
      </c>
      <c r="B118" s="21" t="s">
        <v>539</v>
      </c>
      <c r="C118" s="15" t="s">
        <v>28</v>
      </c>
      <c r="D118" s="26">
        <v>46110</v>
      </c>
      <c r="E118" s="8" t="s">
        <v>333</v>
      </c>
      <c r="F118" s="12" t="s">
        <v>184</v>
      </c>
      <c r="G118" s="8" t="s">
        <v>55</v>
      </c>
      <c r="H118" s="8" t="s">
        <v>400</v>
      </c>
      <c r="I118" s="8" t="s">
        <v>420</v>
      </c>
      <c r="J118" s="8" t="s">
        <v>29</v>
      </c>
      <c r="K118" s="8" t="s">
        <v>29</v>
      </c>
      <c r="L118" s="8" t="s">
        <v>450</v>
      </c>
      <c r="M118" s="8" t="s">
        <v>36</v>
      </c>
      <c r="N118" s="8" t="s">
        <v>37</v>
      </c>
      <c r="O118" s="19">
        <v>46110.405590277776</v>
      </c>
      <c r="P118" s="19">
        <v>46110.406261574077</v>
      </c>
      <c r="Q118" s="14">
        <f t="shared" si="0"/>
        <v>0.9666666726116091</v>
      </c>
      <c r="R118" s="19">
        <v>46110.406261574077</v>
      </c>
      <c r="S118" s="19">
        <v>46110.40766203704</v>
      </c>
      <c r="T118" s="14">
        <f t="shared" si="1"/>
        <v>2.0166666666045785</v>
      </c>
      <c r="U118" s="14">
        <f t="shared" si="2"/>
        <v>2.9833333392161876</v>
      </c>
      <c r="V118" s="11" t="s">
        <v>317</v>
      </c>
      <c r="W118" s="24" t="s">
        <v>39</v>
      </c>
      <c r="X118" s="12" t="s">
        <v>40</v>
      </c>
      <c r="Y118" s="10" t="s">
        <v>41</v>
      </c>
      <c r="Z118" s="15" t="s">
        <v>42</v>
      </c>
      <c r="AA118" s="8" t="s">
        <v>43</v>
      </c>
      <c r="AB118" s="8" t="s">
        <v>29</v>
      </c>
    </row>
    <row r="119" spans="1:28" ht="28.5" x14ac:dyDescent="0.2">
      <c r="A119" s="8">
        <v>118</v>
      </c>
      <c r="B119" s="21" t="s">
        <v>540</v>
      </c>
      <c r="C119" s="15" t="s">
        <v>28</v>
      </c>
      <c r="D119" s="26">
        <v>46110</v>
      </c>
      <c r="E119" s="8" t="s">
        <v>333</v>
      </c>
      <c r="F119" s="12" t="s">
        <v>184</v>
      </c>
      <c r="G119" s="8" t="s">
        <v>55</v>
      </c>
      <c r="H119" s="8" t="s">
        <v>400</v>
      </c>
      <c r="I119" s="8" t="s">
        <v>218</v>
      </c>
      <c r="J119" s="8" t="s">
        <v>29</v>
      </c>
      <c r="K119" s="8" t="s">
        <v>29</v>
      </c>
      <c r="L119" s="8" t="s">
        <v>541</v>
      </c>
      <c r="M119" s="8" t="s">
        <v>36</v>
      </c>
      <c r="N119" s="8" t="s">
        <v>37</v>
      </c>
      <c r="O119" s="19">
        <v>46110.451840277776</v>
      </c>
      <c r="P119" s="19">
        <v>46110.453460648147</v>
      </c>
      <c r="Q119" s="14">
        <f t="shared" si="0"/>
        <v>2.333333333954215</v>
      </c>
      <c r="R119" s="19">
        <v>46110.453460648147</v>
      </c>
      <c r="S119" s="19">
        <v>46110.453634259262</v>
      </c>
      <c r="T119" s="14">
        <f t="shared" si="1"/>
        <v>0.25000000605359674</v>
      </c>
      <c r="U119" s="14">
        <f t="shared" si="2"/>
        <v>2.5833333400078118</v>
      </c>
      <c r="V119" s="11" t="s">
        <v>317</v>
      </c>
      <c r="W119" s="24" t="s">
        <v>39</v>
      </c>
      <c r="X119" s="12" t="s">
        <v>40</v>
      </c>
      <c r="Y119" s="10" t="s">
        <v>41</v>
      </c>
      <c r="Z119" s="15" t="s">
        <v>42</v>
      </c>
      <c r="AA119" s="8" t="s">
        <v>43</v>
      </c>
      <c r="AB119" s="8" t="s">
        <v>29</v>
      </c>
    </row>
    <row r="120" spans="1:28" ht="28.5" x14ac:dyDescent="0.2">
      <c r="A120" s="8">
        <v>119</v>
      </c>
      <c r="B120" s="21" t="s">
        <v>542</v>
      </c>
      <c r="C120" s="15" t="s">
        <v>28</v>
      </c>
      <c r="D120" s="26">
        <v>46110</v>
      </c>
      <c r="E120" s="8" t="s">
        <v>333</v>
      </c>
      <c r="F120" s="12" t="s">
        <v>184</v>
      </c>
      <c r="G120" s="8" t="s">
        <v>55</v>
      </c>
      <c r="H120" s="8" t="s">
        <v>400</v>
      </c>
      <c r="I120" s="8" t="s">
        <v>218</v>
      </c>
      <c r="J120" s="8" t="s">
        <v>29</v>
      </c>
      <c r="K120" s="8" t="s">
        <v>29</v>
      </c>
      <c r="L120" s="8" t="s">
        <v>541</v>
      </c>
      <c r="M120" s="8" t="s">
        <v>36</v>
      </c>
      <c r="N120" s="8" t="s">
        <v>37</v>
      </c>
      <c r="O120" s="19">
        <v>46110.570104166669</v>
      </c>
      <c r="P120" s="19">
        <v>46110.571527777778</v>
      </c>
      <c r="Q120" s="14">
        <f t="shared" si="0"/>
        <v>2.0499999972525984</v>
      </c>
      <c r="R120" s="19">
        <v>46110.571527777778</v>
      </c>
      <c r="S120" s="19">
        <v>46110.571759259263</v>
      </c>
      <c r="T120" s="14">
        <f t="shared" si="1"/>
        <v>0.33333333791233599</v>
      </c>
      <c r="U120" s="14">
        <f t="shared" si="2"/>
        <v>2.3833333351649344</v>
      </c>
      <c r="V120" s="11" t="s">
        <v>317</v>
      </c>
      <c r="W120" s="24" t="s">
        <v>39</v>
      </c>
      <c r="X120" s="12" t="s">
        <v>40</v>
      </c>
      <c r="Y120" s="10" t="s">
        <v>41</v>
      </c>
      <c r="Z120" s="15" t="s">
        <v>42</v>
      </c>
      <c r="AA120" s="8" t="s">
        <v>43</v>
      </c>
      <c r="AB120" s="8" t="s">
        <v>29</v>
      </c>
    </row>
    <row r="121" spans="1:28" ht="28.5" x14ac:dyDescent="0.2">
      <c r="A121" s="8">
        <v>120</v>
      </c>
      <c r="B121" s="21" t="s">
        <v>543</v>
      </c>
      <c r="C121" s="15" t="s">
        <v>28</v>
      </c>
      <c r="D121" s="26">
        <v>46110</v>
      </c>
      <c r="E121" s="8" t="s">
        <v>333</v>
      </c>
      <c r="F121" s="12" t="s">
        <v>184</v>
      </c>
      <c r="G121" s="8" t="s">
        <v>55</v>
      </c>
      <c r="H121" s="8" t="s">
        <v>544</v>
      </c>
      <c r="I121" s="8" t="s">
        <v>420</v>
      </c>
      <c r="J121" s="8" t="s">
        <v>29</v>
      </c>
      <c r="K121" s="8" t="s">
        <v>29</v>
      </c>
      <c r="L121" s="8" t="s">
        <v>450</v>
      </c>
      <c r="M121" s="8" t="s">
        <v>36</v>
      </c>
      <c r="N121" s="8" t="s">
        <v>37</v>
      </c>
      <c r="O121" s="19">
        <v>46110.564618055556</v>
      </c>
      <c r="P121" s="19">
        <v>46110.567395833335</v>
      </c>
      <c r="Q121" s="14">
        <f t="shared" si="0"/>
        <v>4.0000000025611371</v>
      </c>
      <c r="R121" s="19">
        <v>46110.567395833335</v>
      </c>
      <c r="S121" s="19">
        <v>46110.598425925928</v>
      </c>
      <c r="T121" s="14">
        <f t="shared" si="1"/>
        <v>44.683333332650363</v>
      </c>
      <c r="U121" s="14">
        <f t="shared" si="2"/>
        <v>48.683333335211501</v>
      </c>
      <c r="V121" s="8" t="s">
        <v>544</v>
      </c>
      <c r="W121" s="16" t="s">
        <v>39</v>
      </c>
      <c r="X121" s="10" t="s">
        <v>40</v>
      </c>
      <c r="Y121" s="8" t="s">
        <v>41</v>
      </c>
      <c r="Z121" s="8" t="s">
        <v>545</v>
      </c>
      <c r="AA121" s="8" t="s">
        <v>43</v>
      </c>
      <c r="AB121" s="8" t="s">
        <v>546</v>
      </c>
    </row>
    <row r="122" spans="1:28" ht="28.5" x14ac:dyDescent="0.2">
      <c r="A122" s="8">
        <v>121</v>
      </c>
      <c r="B122" s="21" t="s">
        <v>547</v>
      </c>
      <c r="C122" s="15" t="s">
        <v>28</v>
      </c>
      <c r="D122" s="26">
        <v>46110</v>
      </c>
      <c r="E122" s="8" t="s">
        <v>254</v>
      </c>
      <c r="F122" s="12" t="s">
        <v>184</v>
      </c>
      <c r="G122" s="8" t="s">
        <v>55</v>
      </c>
      <c r="H122" s="8" t="s">
        <v>544</v>
      </c>
      <c r="I122" s="8" t="s">
        <v>218</v>
      </c>
      <c r="J122" s="8" t="s">
        <v>29</v>
      </c>
      <c r="K122" s="8" t="s">
        <v>29</v>
      </c>
      <c r="L122" s="8" t="s">
        <v>541</v>
      </c>
      <c r="M122" s="8" t="s">
        <v>36</v>
      </c>
      <c r="N122" s="8" t="s">
        <v>37</v>
      </c>
      <c r="O122" s="19">
        <v>46110.664317129631</v>
      </c>
      <c r="P122" s="19">
        <v>46110.665972222225</v>
      </c>
      <c r="Q122" s="14">
        <f t="shared" si="0"/>
        <v>2.3833333351649344</v>
      </c>
      <c r="R122" s="19">
        <v>46110.665972222225</v>
      </c>
      <c r="S122" s="19">
        <v>46110.692847222221</v>
      </c>
      <c r="T122" s="14">
        <f t="shared" si="1"/>
        <v>38.699999994132668</v>
      </c>
      <c r="U122" s="14">
        <f t="shared" si="2"/>
        <v>41.083333329297602</v>
      </c>
      <c r="V122" s="8" t="s">
        <v>544</v>
      </c>
      <c r="W122" s="16" t="s">
        <v>39</v>
      </c>
      <c r="X122" s="10" t="s">
        <v>40</v>
      </c>
      <c r="Y122" s="8" t="s">
        <v>41</v>
      </c>
      <c r="Z122" s="8" t="s">
        <v>545</v>
      </c>
      <c r="AA122" s="8" t="s">
        <v>43</v>
      </c>
      <c r="AB122" s="8" t="s">
        <v>548</v>
      </c>
    </row>
    <row r="123" spans="1:28" ht="28.5" x14ac:dyDescent="0.2">
      <c r="A123" s="8">
        <v>122</v>
      </c>
      <c r="B123" s="21" t="s">
        <v>549</v>
      </c>
      <c r="C123" s="15" t="s">
        <v>28</v>
      </c>
      <c r="D123" s="26">
        <v>46110</v>
      </c>
      <c r="E123" s="8" t="s">
        <v>254</v>
      </c>
      <c r="F123" s="12" t="s">
        <v>184</v>
      </c>
      <c r="G123" s="8" t="s">
        <v>55</v>
      </c>
      <c r="H123" s="8" t="s">
        <v>550</v>
      </c>
      <c r="I123" s="8" t="s">
        <v>420</v>
      </c>
      <c r="J123" s="8" t="s">
        <v>29</v>
      </c>
      <c r="K123" s="8" t="s">
        <v>29</v>
      </c>
      <c r="L123" s="8" t="s">
        <v>450</v>
      </c>
      <c r="M123" s="8" t="s">
        <v>36</v>
      </c>
      <c r="N123" s="8" t="s">
        <v>37</v>
      </c>
      <c r="O123" s="19">
        <v>46110.737662037034</v>
      </c>
      <c r="P123" s="19">
        <v>46110.738888888889</v>
      </c>
      <c r="Q123" s="14">
        <f t="shared" si="0"/>
        <v>1.7666666710283607</v>
      </c>
      <c r="R123" s="19">
        <v>46110.738888888889</v>
      </c>
      <c r="S123" s="19">
        <v>46110.739039351851</v>
      </c>
      <c r="T123" s="14">
        <f t="shared" si="1"/>
        <v>0.21666666492819786</v>
      </c>
      <c r="U123" s="14">
        <f t="shared" si="2"/>
        <v>1.9833333359565586</v>
      </c>
      <c r="V123" s="11" t="s">
        <v>317</v>
      </c>
      <c r="W123" s="16" t="s">
        <v>39</v>
      </c>
      <c r="X123" s="12" t="s">
        <v>40</v>
      </c>
      <c r="Y123" s="15" t="s">
        <v>41</v>
      </c>
      <c r="Z123" s="15" t="s">
        <v>42</v>
      </c>
      <c r="AA123" s="8" t="s">
        <v>43</v>
      </c>
      <c r="AB123" s="8" t="s">
        <v>29</v>
      </c>
    </row>
    <row r="124" spans="1:28" ht="28.5" x14ac:dyDescent="0.2">
      <c r="A124" s="8">
        <v>123</v>
      </c>
      <c r="B124" s="21" t="s">
        <v>551</v>
      </c>
      <c r="C124" s="15" t="s">
        <v>28</v>
      </c>
      <c r="D124" s="26">
        <v>46110</v>
      </c>
      <c r="E124" s="8" t="s">
        <v>254</v>
      </c>
      <c r="F124" s="12" t="s">
        <v>184</v>
      </c>
      <c r="G124" s="8" t="s">
        <v>55</v>
      </c>
      <c r="H124" s="8" t="s">
        <v>552</v>
      </c>
      <c r="I124" s="8" t="s">
        <v>420</v>
      </c>
      <c r="J124" s="8" t="s">
        <v>29</v>
      </c>
      <c r="K124" s="8" t="s">
        <v>29</v>
      </c>
      <c r="L124" s="8" t="s">
        <v>450</v>
      </c>
      <c r="M124" s="8" t="s">
        <v>36</v>
      </c>
      <c r="N124" s="8" t="s">
        <v>37</v>
      </c>
      <c r="O124" s="19">
        <v>46110.814965277779</v>
      </c>
      <c r="P124" s="19">
        <v>46110.821527777778</v>
      </c>
      <c r="Q124" s="14">
        <f t="shared" si="0"/>
        <v>9.4499999983236194</v>
      </c>
      <c r="R124" s="19">
        <v>46110.861805555556</v>
      </c>
      <c r="S124" s="19">
        <v>46110.891701388886</v>
      </c>
      <c r="T124" s="14">
        <f t="shared" si="1"/>
        <v>43.049999994691461</v>
      </c>
      <c r="U124" s="14">
        <f t="shared" si="2"/>
        <v>110.49999999348074</v>
      </c>
      <c r="V124" s="11" t="s">
        <v>553</v>
      </c>
      <c r="W124" s="16" t="s">
        <v>39</v>
      </c>
      <c r="X124" s="12" t="s">
        <v>40</v>
      </c>
      <c r="Y124" s="15" t="s">
        <v>41</v>
      </c>
      <c r="Z124" s="15" t="s">
        <v>42</v>
      </c>
      <c r="AA124" s="8" t="s">
        <v>43</v>
      </c>
      <c r="AB124" s="8" t="s">
        <v>548</v>
      </c>
    </row>
    <row r="125" spans="1:28" ht="28.5" x14ac:dyDescent="0.2">
      <c r="A125" s="8">
        <v>124</v>
      </c>
      <c r="B125" s="21" t="s">
        <v>554</v>
      </c>
      <c r="C125" s="15" t="s">
        <v>28</v>
      </c>
      <c r="D125" s="26">
        <v>46111</v>
      </c>
      <c r="E125" s="8" t="s">
        <v>333</v>
      </c>
      <c r="F125" s="12" t="s">
        <v>184</v>
      </c>
      <c r="G125" s="8" t="s">
        <v>55</v>
      </c>
      <c r="H125" s="8" t="s">
        <v>555</v>
      </c>
      <c r="I125" s="8" t="s">
        <v>420</v>
      </c>
      <c r="J125" s="8" t="s">
        <v>29</v>
      </c>
      <c r="K125" s="8" t="s">
        <v>81</v>
      </c>
      <c r="L125" s="8" t="s">
        <v>450</v>
      </c>
      <c r="M125" s="8" t="s">
        <v>36</v>
      </c>
      <c r="N125" s="8" t="s">
        <v>37</v>
      </c>
      <c r="O125" s="19">
        <v>46111.289664351854</v>
      </c>
      <c r="P125" s="19">
        <v>46111.29047453704</v>
      </c>
      <c r="Q125" s="14">
        <f t="shared" si="0"/>
        <v>1.1666666669771075</v>
      </c>
      <c r="R125" s="19">
        <v>46111.29047453704</v>
      </c>
      <c r="S125" s="19">
        <v>46111.291064814817</v>
      </c>
      <c r="T125" s="14">
        <f t="shared" si="1"/>
        <v>0.84999999962747097</v>
      </c>
      <c r="U125" s="14">
        <f t="shared" si="2"/>
        <v>2.0166666666045785</v>
      </c>
      <c r="V125" s="11" t="s">
        <v>556</v>
      </c>
      <c r="W125" s="16" t="s">
        <v>39</v>
      </c>
      <c r="X125" s="12" t="s">
        <v>66</v>
      </c>
      <c r="Y125" s="15" t="s">
        <v>67</v>
      </c>
      <c r="Z125" s="15" t="s">
        <v>67</v>
      </c>
      <c r="AA125" s="8" t="s">
        <v>43</v>
      </c>
      <c r="AB125" s="8" t="s">
        <v>29</v>
      </c>
    </row>
    <row r="126" spans="1:28" ht="14.25" x14ac:dyDescent="0.2">
      <c r="A126" s="8">
        <v>125</v>
      </c>
      <c r="B126" s="21" t="s">
        <v>557</v>
      </c>
      <c r="C126" s="15" t="s">
        <v>28</v>
      </c>
      <c r="D126" s="26">
        <v>46111</v>
      </c>
      <c r="E126" s="8" t="s">
        <v>333</v>
      </c>
      <c r="F126" s="8" t="s">
        <v>558</v>
      </c>
      <c r="G126" s="8" t="s">
        <v>559</v>
      </c>
      <c r="H126" s="8" t="s">
        <v>560</v>
      </c>
      <c r="I126" s="8" t="s">
        <v>561</v>
      </c>
      <c r="J126" s="8" t="s">
        <v>29</v>
      </c>
      <c r="K126" s="8" t="s">
        <v>29</v>
      </c>
      <c r="L126" s="8"/>
      <c r="M126" s="12" t="s">
        <v>107</v>
      </c>
      <c r="N126" s="12" t="s">
        <v>346</v>
      </c>
      <c r="O126" s="19">
        <v>46111.360763888886</v>
      </c>
      <c r="P126" s="19">
        <v>46111.364583333336</v>
      </c>
      <c r="Q126" s="14">
        <f t="shared" si="0"/>
        <v>5.5000000074505806</v>
      </c>
      <c r="R126" s="19">
        <v>46111.369097222225</v>
      </c>
      <c r="S126" s="19">
        <v>46111.388773148145</v>
      </c>
      <c r="T126" s="14">
        <f t="shared" si="1"/>
        <v>28.333333324408159</v>
      </c>
      <c r="U126" s="14">
        <f t="shared" si="2"/>
        <v>40.33333333209157</v>
      </c>
      <c r="V126" s="12" t="s">
        <v>562</v>
      </c>
      <c r="W126" s="16" t="s">
        <v>39</v>
      </c>
      <c r="X126" s="8" t="s">
        <v>66</v>
      </c>
      <c r="Y126" s="8" t="s">
        <v>67</v>
      </c>
      <c r="Z126" s="8" t="s">
        <v>67</v>
      </c>
      <c r="AA126" s="8" t="s">
        <v>43</v>
      </c>
      <c r="AB126" s="8" t="s">
        <v>563</v>
      </c>
    </row>
    <row r="127" spans="1:28" ht="28.5" x14ac:dyDescent="0.2">
      <c r="A127" s="8">
        <v>126</v>
      </c>
      <c r="B127" s="21" t="s">
        <v>564</v>
      </c>
      <c r="C127" s="15" t="s">
        <v>28</v>
      </c>
      <c r="D127" s="26">
        <v>46111</v>
      </c>
      <c r="E127" s="8" t="s">
        <v>254</v>
      </c>
      <c r="F127" s="12" t="s">
        <v>184</v>
      </c>
      <c r="G127" s="8" t="s">
        <v>55</v>
      </c>
      <c r="H127" s="8" t="s">
        <v>565</v>
      </c>
      <c r="I127" s="8" t="s">
        <v>420</v>
      </c>
      <c r="J127" s="8" t="s">
        <v>29</v>
      </c>
      <c r="K127" s="8" t="s">
        <v>29</v>
      </c>
      <c r="L127" s="8" t="s">
        <v>450</v>
      </c>
      <c r="M127" s="8" t="s">
        <v>36</v>
      </c>
      <c r="N127" s="8" t="s">
        <v>37</v>
      </c>
      <c r="O127" s="19">
        <v>46111.748819444445</v>
      </c>
      <c r="P127" s="19">
        <v>46111.752083333333</v>
      </c>
      <c r="Q127" s="14">
        <f t="shared" si="0"/>
        <v>4.69999999855645</v>
      </c>
      <c r="R127" s="19">
        <v>46111.793055555558</v>
      </c>
      <c r="S127" s="19">
        <v>46112.05636574074</v>
      </c>
      <c r="T127" s="14">
        <f t="shared" si="1"/>
        <v>379.16666666278616</v>
      </c>
      <c r="U127" s="14">
        <f t="shared" si="2"/>
        <v>442.8666666650679</v>
      </c>
      <c r="V127" s="11" t="s">
        <v>566</v>
      </c>
      <c r="W127" s="16" t="s">
        <v>39</v>
      </c>
      <c r="X127" s="10" t="s">
        <v>40</v>
      </c>
      <c r="Y127" s="8" t="s">
        <v>41</v>
      </c>
      <c r="Z127" s="8" t="s">
        <v>42</v>
      </c>
      <c r="AA127" s="8" t="s">
        <v>43</v>
      </c>
      <c r="AB127" s="8" t="s">
        <v>567</v>
      </c>
    </row>
    <row r="128" spans="1:28" ht="28.5" x14ac:dyDescent="0.2">
      <c r="A128" s="8">
        <v>127</v>
      </c>
      <c r="B128" s="21" t="s">
        <v>568</v>
      </c>
      <c r="C128" s="15" t="s">
        <v>28</v>
      </c>
      <c r="D128" s="26">
        <v>46111</v>
      </c>
      <c r="E128" s="8" t="s">
        <v>254</v>
      </c>
      <c r="F128" s="12" t="s">
        <v>184</v>
      </c>
      <c r="G128" s="8" t="s">
        <v>55</v>
      </c>
      <c r="H128" s="8" t="s">
        <v>569</v>
      </c>
      <c r="I128" s="8" t="s">
        <v>570</v>
      </c>
      <c r="J128" s="8" t="s">
        <v>29</v>
      </c>
      <c r="K128" s="8" t="s">
        <v>571</v>
      </c>
      <c r="L128" s="8" t="s">
        <v>572</v>
      </c>
      <c r="M128" s="8" t="s">
        <v>107</v>
      </c>
      <c r="N128" s="8" t="s">
        <v>37</v>
      </c>
      <c r="O128" s="19">
        <v>46111.873530092591</v>
      </c>
      <c r="P128" s="19">
        <v>46111.879861111112</v>
      </c>
      <c r="Q128" s="14">
        <f t="shared" si="0"/>
        <v>9.1166666708886623</v>
      </c>
      <c r="R128" s="19">
        <v>46111.9</v>
      </c>
      <c r="S128" s="19">
        <v>46111.976145833331</v>
      </c>
      <c r="T128" s="14">
        <f t="shared" si="1"/>
        <v>109.64999999385327</v>
      </c>
      <c r="U128" s="14">
        <f t="shared" si="2"/>
        <v>147.76666666497476</v>
      </c>
      <c r="V128" s="11" t="s">
        <v>573</v>
      </c>
      <c r="W128" s="16" t="s">
        <v>39</v>
      </c>
      <c r="X128" s="8" t="s">
        <v>66</v>
      </c>
      <c r="Y128" s="8" t="s">
        <v>67</v>
      </c>
      <c r="Z128" s="8" t="s">
        <v>67</v>
      </c>
      <c r="AA128" s="8" t="s">
        <v>43</v>
      </c>
      <c r="AB128" s="8" t="s">
        <v>548</v>
      </c>
    </row>
    <row r="129" spans="1:28" ht="28.5" x14ac:dyDescent="0.2">
      <c r="A129" s="8">
        <v>128</v>
      </c>
      <c r="B129" s="21" t="s">
        <v>574</v>
      </c>
      <c r="C129" s="15" t="s">
        <v>28</v>
      </c>
      <c r="D129" s="26">
        <v>46112</v>
      </c>
      <c r="E129" s="8" t="s">
        <v>265</v>
      </c>
      <c r="F129" s="12" t="s">
        <v>184</v>
      </c>
      <c r="G129" s="8" t="s">
        <v>55</v>
      </c>
      <c r="H129" s="8" t="s">
        <v>272</v>
      </c>
      <c r="I129" s="8" t="s">
        <v>462</v>
      </c>
      <c r="J129" s="8" t="s">
        <v>29</v>
      </c>
      <c r="K129" s="8" t="s">
        <v>364</v>
      </c>
      <c r="L129" s="8" t="s">
        <v>365</v>
      </c>
      <c r="M129" s="8" t="s">
        <v>107</v>
      </c>
      <c r="N129" s="8" t="s">
        <v>37</v>
      </c>
      <c r="O129" s="19">
        <v>46112.476226851853</v>
      </c>
      <c r="P129" s="19">
        <v>46112.477777777778</v>
      </c>
      <c r="Q129" s="14">
        <f t="shared" si="0"/>
        <v>2.2333333315327764</v>
      </c>
      <c r="R129" s="19">
        <v>46112.477777777778</v>
      </c>
      <c r="S129" s="19">
        <v>46112.485023148147</v>
      </c>
      <c r="T129" s="14">
        <f t="shared" si="1"/>
        <v>10.433333331020549</v>
      </c>
      <c r="U129" s="14">
        <f t="shared" si="2"/>
        <v>12.666666662553325</v>
      </c>
      <c r="V129" s="8" t="s">
        <v>575</v>
      </c>
      <c r="W129" s="16" t="s">
        <v>39</v>
      </c>
      <c r="X129" s="10" t="s">
        <v>40</v>
      </c>
      <c r="Y129" s="10" t="s">
        <v>41</v>
      </c>
      <c r="Z129" s="15" t="s">
        <v>42</v>
      </c>
      <c r="AA129" s="8" t="s">
        <v>43</v>
      </c>
      <c r="AB129" s="8" t="s">
        <v>29</v>
      </c>
    </row>
    <row r="130" spans="1:28" ht="28.5" x14ac:dyDescent="0.2">
      <c r="A130" s="8">
        <v>129</v>
      </c>
      <c r="B130" s="21" t="s">
        <v>576</v>
      </c>
      <c r="C130" s="15" t="s">
        <v>28</v>
      </c>
      <c r="D130" s="26">
        <v>46112</v>
      </c>
      <c r="E130" s="8" t="s">
        <v>265</v>
      </c>
      <c r="F130" s="12" t="s">
        <v>184</v>
      </c>
      <c r="G130" s="8" t="s">
        <v>55</v>
      </c>
      <c r="H130" s="8" t="s">
        <v>569</v>
      </c>
      <c r="I130" s="8" t="s">
        <v>570</v>
      </c>
      <c r="J130" s="8" t="s">
        <v>29</v>
      </c>
      <c r="K130" s="8" t="s">
        <v>571</v>
      </c>
      <c r="L130" s="8" t="s">
        <v>577</v>
      </c>
      <c r="M130" s="8" t="s">
        <v>107</v>
      </c>
      <c r="N130" s="8" t="s">
        <v>37</v>
      </c>
      <c r="O130" s="19">
        <v>46112.583043981482</v>
      </c>
      <c r="P130" s="19">
        <v>46112.587500000001</v>
      </c>
      <c r="Q130" s="14">
        <f t="shared" si="0"/>
        <v>6.4166666683740914</v>
      </c>
      <c r="R130" s="19">
        <v>46112.618750000001</v>
      </c>
      <c r="S130" s="19">
        <v>46112.645138888889</v>
      </c>
      <c r="T130" s="14">
        <f t="shared" si="1"/>
        <v>37.999999998137355</v>
      </c>
      <c r="U130" s="14">
        <f t="shared" si="2"/>
        <v>89.416666666511446</v>
      </c>
      <c r="V130" s="8" t="s">
        <v>578</v>
      </c>
      <c r="W130" s="16" t="s">
        <v>39</v>
      </c>
      <c r="X130" s="8" t="s">
        <v>66</v>
      </c>
      <c r="Y130" s="8" t="s">
        <v>67</v>
      </c>
      <c r="Z130" s="8" t="s">
        <v>67</v>
      </c>
      <c r="AA130" s="8" t="s">
        <v>43</v>
      </c>
      <c r="AB130" s="8" t="s">
        <v>439</v>
      </c>
    </row>
    <row r="131" spans="1:28" ht="28.5" x14ac:dyDescent="0.2">
      <c r="A131" s="8">
        <v>130</v>
      </c>
      <c r="B131" s="21" t="s">
        <v>579</v>
      </c>
      <c r="C131" s="15" t="s">
        <v>28</v>
      </c>
      <c r="D131" s="26">
        <v>46112</v>
      </c>
      <c r="E131" s="8" t="s">
        <v>254</v>
      </c>
      <c r="F131" s="12" t="s">
        <v>184</v>
      </c>
      <c r="G131" s="8" t="s">
        <v>55</v>
      </c>
      <c r="H131" s="8" t="s">
        <v>580</v>
      </c>
      <c r="I131" s="8" t="s">
        <v>420</v>
      </c>
      <c r="J131" s="8" t="s">
        <v>29</v>
      </c>
      <c r="K131" s="8" t="s">
        <v>29</v>
      </c>
      <c r="L131" s="8" t="s">
        <v>450</v>
      </c>
      <c r="M131" s="8" t="s">
        <v>36</v>
      </c>
      <c r="N131" s="8" t="s">
        <v>37</v>
      </c>
      <c r="O131" s="19">
        <v>46112.799027777779</v>
      </c>
      <c r="P131" s="19">
        <v>46112.800694444442</v>
      </c>
      <c r="Q131" s="14">
        <f t="shared" si="0"/>
        <v>2.3999999952502549</v>
      </c>
      <c r="R131" s="19">
        <v>46112.800694444442</v>
      </c>
      <c r="S131" s="19">
        <v>46112.805613425924</v>
      </c>
      <c r="T131" s="14">
        <f t="shared" si="1"/>
        <v>7.0833333337213844</v>
      </c>
      <c r="U131" s="14">
        <f t="shared" si="2"/>
        <v>9.4833333289716393</v>
      </c>
      <c r="V131" s="11" t="s">
        <v>581</v>
      </c>
      <c r="W131" s="16" t="s">
        <v>39</v>
      </c>
      <c r="X131" s="10" t="s">
        <v>40</v>
      </c>
      <c r="Y131" s="8" t="s">
        <v>41</v>
      </c>
      <c r="Z131" s="8" t="s">
        <v>42</v>
      </c>
      <c r="AA131" s="8" t="s">
        <v>43</v>
      </c>
      <c r="AB131" s="8" t="s">
        <v>582</v>
      </c>
    </row>
    <row r="132" spans="1:28" ht="28.5" x14ac:dyDescent="0.2">
      <c r="A132" s="8">
        <v>131</v>
      </c>
      <c r="B132" s="21" t="s">
        <v>583</v>
      </c>
      <c r="C132" s="15" t="s">
        <v>28</v>
      </c>
      <c r="D132" s="26">
        <v>46113</v>
      </c>
      <c r="E132" s="8" t="s">
        <v>265</v>
      </c>
      <c r="F132" s="12" t="s">
        <v>184</v>
      </c>
      <c r="G132" s="8" t="s">
        <v>55</v>
      </c>
      <c r="H132" s="8" t="s">
        <v>584</v>
      </c>
      <c r="I132" s="8" t="s">
        <v>585</v>
      </c>
      <c r="J132" s="8"/>
      <c r="K132" s="8"/>
      <c r="L132" s="8" t="s">
        <v>586</v>
      </c>
      <c r="M132" s="8" t="s">
        <v>107</v>
      </c>
      <c r="N132" s="8" t="s">
        <v>37</v>
      </c>
      <c r="O132" s="19">
        <v>46113.381597222222</v>
      </c>
      <c r="P132" s="19">
        <v>46113.383333333331</v>
      </c>
      <c r="Q132" s="14">
        <f t="shared" si="0"/>
        <v>2.4999999976716936</v>
      </c>
      <c r="R132" s="19">
        <v>46113.383333333331</v>
      </c>
      <c r="S132" s="19">
        <v>46113.389918981484</v>
      </c>
      <c r="T132" s="14">
        <f t="shared" si="1"/>
        <v>9.4833333394490182</v>
      </c>
      <c r="U132" s="14">
        <f t="shared" si="2"/>
        <v>11.983333337120712</v>
      </c>
      <c r="V132" s="8" t="s">
        <v>587</v>
      </c>
      <c r="W132" s="16" t="s">
        <v>39</v>
      </c>
      <c r="X132" s="8" t="s">
        <v>66</v>
      </c>
      <c r="Y132" s="8" t="s">
        <v>67</v>
      </c>
      <c r="Z132" s="8" t="s">
        <v>67</v>
      </c>
      <c r="AA132" s="8" t="s">
        <v>43</v>
      </c>
      <c r="AB132" s="8" t="s">
        <v>588</v>
      </c>
    </row>
    <row r="133" spans="1:28" ht="28.5" x14ac:dyDescent="0.2">
      <c r="A133" s="8">
        <v>132</v>
      </c>
      <c r="B133" s="21" t="s">
        <v>589</v>
      </c>
      <c r="C133" s="15" t="s">
        <v>28</v>
      </c>
      <c r="D133" s="26">
        <v>46113</v>
      </c>
      <c r="E133" s="8" t="s">
        <v>290</v>
      </c>
      <c r="F133" s="12" t="s">
        <v>184</v>
      </c>
      <c r="G133" s="8" t="s">
        <v>55</v>
      </c>
      <c r="H133" s="8" t="s">
        <v>590</v>
      </c>
      <c r="I133" s="8" t="s">
        <v>591</v>
      </c>
      <c r="J133" s="8"/>
      <c r="K133" s="8"/>
      <c r="L133" s="8" t="s">
        <v>592</v>
      </c>
      <c r="M133" s="8" t="s">
        <v>107</v>
      </c>
      <c r="N133" s="8" t="s">
        <v>37</v>
      </c>
      <c r="O133" s="19">
        <v>46113.973252314812</v>
      </c>
      <c r="P133" s="19">
        <v>46113.977673611109</v>
      </c>
      <c r="Q133" s="14">
        <f t="shared" si="0"/>
        <v>6.366666667163372</v>
      </c>
      <c r="R133" s="19">
        <v>46113.977673611109</v>
      </c>
      <c r="S133" s="19">
        <v>46113.991319444445</v>
      </c>
      <c r="T133" s="14">
        <f t="shared" si="1"/>
        <v>19.65000000433065</v>
      </c>
      <c r="U133" s="14">
        <f t="shared" si="2"/>
        <v>26.016666671494022</v>
      </c>
      <c r="V133" s="49" t="s">
        <v>593</v>
      </c>
      <c r="W133" s="16" t="s">
        <v>39</v>
      </c>
      <c r="X133" s="10" t="s">
        <v>40</v>
      </c>
      <c r="Y133" s="8" t="s">
        <v>594</v>
      </c>
      <c r="Z133" s="8" t="s">
        <v>595</v>
      </c>
      <c r="AA133" s="8" t="s">
        <v>43</v>
      </c>
      <c r="AB133" s="8" t="s">
        <v>29</v>
      </c>
    </row>
    <row r="134" spans="1:28" ht="28.5" x14ac:dyDescent="0.2">
      <c r="A134" s="8">
        <v>133</v>
      </c>
      <c r="B134" s="21" t="s">
        <v>596</v>
      </c>
      <c r="C134" s="15" t="s">
        <v>28</v>
      </c>
      <c r="D134" s="26">
        <v>46113</v>
      </c>
      <c r="E134" s="8" t="s">
        <v>290</v>
      </c>
      <c r="F134" s="12" t="s">
        <v>184</v>
      </c>
      <c r="G134" s="8" t="s">
        <v>55</v>
      </c>
      <c r="H134" s="8" t="s">
        <v>590</v>
      </c>
      <c r="I134" s="8" t="s">
        <v>597</v>
      </c>
      <c r="J134" s="8"/>
      <c r="K134" s="8"/>
      <c r="L134" s="8" t="s">
        <v>598</v>
      </c>
      <c r="M134" s="8" t="s">
        <v>107</v>
      </c>
      <c r="N134" s="8" t="s">
        <v>37</v>
      </c>
      <c r="O134" s="19">
        <v>46113.973252314812</v>
      </c>
      <c r="P134" s="19">
        <v>46113.977673611109</v>
      </c>
      <c r="Q134" s="14">
        <f t="shared" si="0"/>
        <v>6.366666667163372</v>
      </c>
      <c r="R134" s="19">
        <v>46113.977673611109</v>
      </c>
      <c r="S134" s="19">
        <v>46113.991319444445</v>
      </c>
      <c r="T134" s="14">
        <f t="shared" si="1"/>
        <v>19.65000000433065</v>
      </c>
      <c r="U134" s="14">
        <f t="shared" si="2"/>
        <v>26.016666671494022</v>
      </c>
      <c r="V134" s="42"/>
      <c r="W134" s="16" t="s">
        <v>39</v>
      </c>
      <c r="X134" s="10" t="s">
        <v>40</v>
      </c>
      <c r="Y134" s="8" t="s">
        <v>594</v>
      </c>
      <c r="Z134" s="8" t="s">
        <v>595</v>
      </c>
      <c r="AA134" s="8" t="s">
        <v>43</v>
      </c>
      <c r="AB134" s="8" t="s">
        <v>29</v>
      </c>
    </row>
    <row r="135" spans="1:28" ht="28.5" x14ac:dyDescent="0.2">
      <c r="A135" s="8">
        <v>134</v>
      </c>
      <c r="B135" s="21" t="s">
        <v>599</v>
      </c>
      <c r="C135" s="15" t="s">
        <v>28</v>
      </c>
      <c r="D135" s="26">
        <v>46113</v>
      </c>
      <c r="E135" s="8" t="s">
        <v>290</v>
      </c>
      <c r="F135" s="12" t="s">
        <v>184</v>
      </c>
      <c r="G135" s="8" t="s">
        <v>55</v>
      </c>
      <c r="H135" s="8" t="s">
        <v>590</v>
      </c>
      <c r="I135" s="8" t="s">
        <v>600</v>
      </c>
      <c r="J135" s="8"/>
      <c r="K135" s="8"/>
      <c r="L135" s="8" t="s">
        <v>601</v>
      </c>
      <c r="M135" s="8" t="s">
        <v>107</v>
      </c>
      <c r="N135" s="8" t="s">
        <v>37</v>
      </c>
      <c r="O135" s="19">
        <v>46113.973252314812</v>
      </c>
      <c r="P135" s="19">
        <v>46113.977673611109</v>
      </c>
      <c r="Q135" s="14">
        <f t="shared" si="0"/>
        <v>6.366666667163372</v>
      </c>
      <c r="R135" s="19">
        <v>46113.977673611109</v>
      </c>
      <c r="S135" s="19">
        <v>46113.991319444445</v>
      </c>
      <c r="T135" s="14">
        <f t="shared" si="1"/>
        <v>19.65000000433065</v>
      </c>
      <c r="U135" s="14">
        <f t="shared" si="2"/>
        <v>26.016666671494022</v>
      </c>
      <c r="V135" s="42"/>
      <c r="W135" s="16" t="s">
        <v>39</v>
      </c>
      <c r="X135" s="10" t="s">
        <v>40</v>
      </c>
      <c r="Y135" s="8" t="s">
        <v>594</v>
      </c>
      <c r="Z135" s="8" t="s">
        <v>595</v>
      </c>
      <c r="AA135" s="8" t="s">
        <v>43</v>
      </c>
      <c r="AB135" s="8" t="s">
        <v>29</v>
      </c>
    </row>
    <row r="136" spans="1:28" ht="28.5" x14ac:dyDescent="0.2">
      <c r="A136" s="8">
        <v>135</v>
      </c>
      <c r="B136" s="21" t="s">
        <v>602</v>
      </c>
      <c r="C136" s="15" t="s">
        <v>28</v>
      </c>
      <c r="D136" s="26">
        <v>46113</v>
      </c>
      <c r="E136" s="8" t="s">
        <v>290</v>
      </c>
      <c r="F136" s="12" t="s">
        <v>184</v>
      </c>
      <c r="G136" s="8" t="s">
        <v>55</v>
      </c>
      <c r="H136" s="8" t="s">
        <v>590</v>
      </c>
      <c r="I136" s="8" t="s">
        <v>603</v>
      </c>
      <c r="J136" s="8"/>
      <c r="K136" s="8"/>
      <c r="L136" s="8" t="s">
        <v>604</v>
      </c>
      <c r="M136" s="8" t="s">
        <v>107</v>
      </c>
      <c r="N136" s="8" t="s">
        <v>37</v>
      </c>
      <c r="O136" s="19">
        <v>46113.973252314812</v>
      </c>
      <c r="P136" s="19">
        <v>46113.977673611109</v>
      </c>
      <c r="Q136" s="14">
        <f t="shared" si="0"/>
        <v>6.366666667163372</v>
      </c>
      <c r="R136" s="19">
        <v>46113.977673611109</v>
      </c>
      <c r="S136" s="19">
        <v>46113.991319444445</v>
      </c>
      <c r="T136" s="14">
        <f t="shared" si="1"/>
        <v>19.65000000433065</v>
      </c>
      <c r="U136" s="14">
        <f t="shared" si="2"/>
        <v>26.016666671494022</v>
      </c>
      <c r="V136" s="42"/>
      <c r="W136" s="16" t="s">
        <v>39</v>
      </c>
      <c r="X136" s="10" t="s">
        <v>40</v>
      </c>
      <c r="Y136" s="8" t="s">
        <v>594</v>
      </c>
      <c r="Z136" s="8" t="s">
        <v>595</v>
      </c>
      <c r="AA136" s="8" t="s">
        <v>43</v>
      </c>
      <c r="AB136" s="8" t="s">
        <v>29</v>
      </c>
    </row>
    <row r="137" spans="1:28" ht="28.5" x14ac:dyDescent="0.2">
      <c r="A137" s="8">
        <v>136</v>
      </c>
      <c r="B137" s="21" t="s">
        <v>605</v>
      </c>
      <c r="C137" s="15" t="s">
        <v>28</v>
      </c>
      <c r="D137" s="26">
        <v>46113</v>
      </c>
      <c r="E137" s="8" t="s">
        <v>290</v>
      </c>
      <c r="F137" s="12" t="s">
        <v>184</v>
      </c>
      <c r="G137" s="8" t="s">
        <v>55</v>
      </c>
      <c r="H137" s="8" t="s">
        <v>590</v>
      </c>
      <c r="I137" s="8" t="s">
        <v>606</v>
      </c>
      <c r="J137" s="8"/>
      <c r="K137" s="8"/>
      <c r="L137" s="8" t="s">
        <v>607</v>
      </c>
      <c r="M137" s="8" t="s">
        <v>107</v>
      </c>
      <c r="N137" s="8" t="s">
        <v>37</v>
      </c>
      <c r="O137" s="19">
        <v>46113.973252314812</v>
      </c>
      <c r="P137" s="19">
        <v>46113.977673611109</v>
      </c>
      <c r="Q137" s="14">
        <f t="shared" si="0"/>
        <v>6.366666667163372</v>
      </c>
      <c r="R137" s="19">
        <v>46113.977673611109</v>
      </c>
      <c r="S137" s="19">
        <v>46113.991319444445</v>
      </c>
      <c r="T137" s="14">
        <f t="shared" si="1"/>
        <v>19.65000000433065</v>
      </c>
      <c r="U137" s="14">
        <f t="shared" si="2"/>
        <v>26.016666671494022</v>
      </c>
      <c r="V137" s="42"/>
      <c r="W137" s="16" t="s">
        <v>39</v>
      </c>
      <c r="X137" s="10" t="s">
        <v>40</v>
      </c>
      <c r="Y137" s="8" t="s">
        <v>594</v>
      </c>
      <c r="Z137" s="8" t="s">
        <v>595</v>
      </c>
      <c r="AA137" s="8" t="s">
        <v>43</v>
      </c>
      <c r="AB137" s="8" t="s">
        <v>29</v>
      </c>
    </row>
    <row r="138" spans="1:28" ht="28.5" x14ac:dyDescent="0.2">
      <c r="A138" s="8">
        <v>137</v>
      </c>
      <c r="B138" s="21" t="s">
        <v>608</v>
      </c>
      <c r="C138" s="15" t="s">
        <v>28</v>
      </c>
      <c r="D138" s="26">
        <v>46113</v>
      </c>
      <c r="E138" s="8" t="s">
        <v>290</v>
      </c>
      <c r="F138" s="12" t="s">
        <v>184</v>
      </c>
      <c r="G138" s="8" t="s">
        <v>55</v>
      </c>
      <c r="H138" s="8" t="s">
        <v>590</v>
      </c>
      <c r="I138" s="8" t="s">
        <v>609</v>
      </c>
      <c r="J138" s="8"/>
      <c r="K138" s="8"/>
      <c r="L138" s="8" t="s">
        <v>610</v>
      </c>
      <c r="M138" s="8" t="s">
        <v>107</v>
      </c>
      <c r="N138" s="8" t="s">
        <v>37</v>
      </c>
      <c r="O138" s="19">
        <v>46113.973252314812</v>
      </c>
      <c r="P138" s="19">
        <v>46113.977673611109</v>
      </c>
      <c r="Q138" s="14">
        <f t="shared" si="0"/>
        <v>6.366666667163372</v>
      </c>
      <c r="R138" s="19">
        <v>46113.977673611109</v>
      </c>
      <c r="S138" s="19">
        <v>46113.991319444445</v>
      </c>
      <c r="T138" s="14">
        <f t="shared" si="1"/>
        <v>19.65000000433065</v>
      </c>
      <c r="U138" s="14">
        <f t="shared" si="2"/>
        <v>26.016666671494022</v>
      </c>
      <c r="V138" s="42"/>
      <c r="W138" s="16" t="s">
        <v>39</v>
      </c>
      <c r="X138" s="10" t="s">
        <v>40</v>
      </c>
      <c r="Y138" s="8" t="s">
        <v>594</v>
      </c>
      <c r="Z138" s="8" t="s">
        <v>595</v>
      </c>
      <c r="AA138" s="8" t="s">
        <v>43</v>
      </c>
      <c r="AB138" s="8" t="s">
        <v>29</v>
      </c>
    </row>
    <row r="139" spans="1:28" ht="28.5" x14ac:dyDescent="0.2">
      <c r="A139" s="8">
        <v>138</v>
      </c>
      <c r="B139" s="21" t="s">
        <v>611</v>
      </c>
      <c r="C139" s="15" t="s">
        <v>28</v>
      </c>
      <c r="D139" s="26">
        <v>46113</v>
      </c>
      <c r="E139" s="8" t="s">
        <v>290</v>
      </c>
      <c r="F139" s="12" t="s">
        <v>184</v>
      </c>
      <c r="G139" s="8" t="s">
        <v>55</v>
      </c>
      <c r="H139" s="8" t="s">
        <v>590</v>
      </c>
      <c r="I139" s="8" t="s">
        <v>612</v>
      </c>
      <c r="J139" s="8"/>
      <c r="K139" s="8"/>
      <c r="L139" s="8" t="s">
        <v>613</v>
      </c>
      <c r="M139" s="8" t="s">
        <v>107</v>
      </c>
      <c r="N139" s="8" t="s">
        <v>37</v>
      </c>
      <c r="O139" s="19">
        <v>46113.973252314812</v>
      </c>
      <c r="P139" s="19">
        <v>46113.977673611109</v>
      </c>
      <c r="Q139" s="14">
        <f t="shared" si="0"/>
        <v>6.366666667163372</v>
      </c>
      <c r="R139" s="19">
        <v>46113.977673611109</v>
      </c>
      <c r="S139" s="19">
        <v>46113.991319444445</v>
      </c>
      <c r="T139" s="14">
        <f t="shared" si="1"/>
        <v>19.65000000433065</v>
      </c>
      <c r="U139" s="14">
        <f t="shared" si="2"/>
        <v>26.016666671494022</v>
      </c>
      <c r="V139" s="43"/>
      <c r="W139" s="16" t="s">
        <v>39</v>
      </c>
      <c r="X139" s="10" t="s">
        <v>40</v>
      </c>
      <c r="Y139" s="8" t="s">
        <v>594</v>
      </c>
      <c r="Z139" s="8" t="s">
        <v>595</v>
      </c>
      <c r="AA139" s="8" t="s">
        <v>43</v>
      </c>
      <c r="AB139" s="8" t="s">
        <v>29</v>
      </c>
    </row>
    <row r="140" spans="1:28" ht="28.5" x14ac:dyDescent="0.2">
      <c r="A140" s="8">
        <v>139</v>
      </c>
      <c r="B140" s="21" t="s">
        <v>614</v>
      </c>
      <c r="C140" s="15" t="s">
        <v>28</v>
      </c>
      <c r="D140" s="26">
        <v>46114</v>
      </c>
      <c r="E140" s="8" t="s">
        <v>290</v>
      </c>
      <c r="F140" s="12" t="s">
        <v>184</v>
      </c>
      <c r="G140" s="8" t="s">
        <v>55</v>
      </c>
      <c r="H140" s="8" t="s">
        <v>550</v>
      </c>
      <c r="I140" s="8" t="s">
        <v>615</v>
      </c>
      <c r="J140" s="8"/>
      <c r="K140" s="8"/>
      <c r="L140" s="8" t="s">
        <v>616</v>
      </c>
      <c r="M140" s="8" t="s">
        <v>36</v>
      </c>
      <c r="N140" s="8" t="s">
        <v>37</v>
      </c>
      <c r="O140" s="19">
        <v>46114.118819444448</v>
      </c>
      <c r="P140" s="19">
        <v>46114.12159722222</v>
      </c>
      <c r="Q140" s="14">
        <f t="shared" si="0"/>
        <v>3.9999999920837581</v>
      </c>
      <c r="R140" s="19">
        <v>46114.12159722222</v>
      </c>
      <c r="S140" s="19">
        <v>46114.122291666667</v>
      </c>
      <c r="T140" s="14">
        <f t="shared" si="1"/>
        <v>1.000000003259629</v>
      </c>
      <c r="U140" s="14">
        <f t="shared" si="2"/>
        <v>4.9999999953433871</v>
      </c>
      <c r="V140" s="28" t="s">
        <v>617</v>
      </c>
      <c r="W140" s="15" t="s">
        <v>39</v>
      </c>
      <c r="X140" s="8" t="s">
        <v>66</v>
      </c>
      <c r="Y140" s="8" t="s">
        <v>67</v>
      </c>
      <c r="Z140" s="8" t="s">
        <v>67</v>
      </c>
      <c r="AA140" s="8" t="s">
        <v>43</v>
      </c>
      <c r="AB140" s="8" t="s">
        <v>29</v>
      </c>
    </row>
    <row r="141" spans="1:28" ht="28.5" x14ac:dyDescent="0.2">
      <c r="A141" s="8">
        <v>140</v>
      </c>
      <c r="B141" s="21" t="s">
        <v>618</v>
      </c>
      <c r="C141" s="15" t="s">
        <v>28</v>
      </c>
      <c r="D141" s="26">
        <v>46114</v>
      </c>
      <c r="E141" s="8" t="s">
        <v>290</v>
      </c>
      <c r="F141" s="12" t="s">
        <v>184</v>
      </c>
      <c r="G141" s="8" t="s">
        <v>55</v>
      </c>
      <c r="H141" s="8" t="s">
        <v>550</v>
      </c>
      <c r="I141" s="8" t="s">
        <v>363</v>
      </c>
      <c r="J141" s="8" t="s">
        <v>29</v>
      </c>
      <c r="K141" s="8" t="s">
        <v>364</v>
      </c>
      <c r="L141" s="8" t="s">
        <v>365</v>
      </c>
      <c r="M141" s="8" t="s">
        <v>107</v>
      </c>
      <c r="N141" s="8" t="s">
        <v>37</v>
      </c>
      <c r="O141" s="19">
        <v>46114.276585648149</v>
      </c>
      <c r="P141" s="19">
        <v>46114.280752314815</v>
      </c>
      <c r="Q141" s="14">
        <f t="shared" si="0"/>
        <v>5.9999999986030161</v>
      </c>
      <c r="R141" s="19">
        <v>46114.280752314815</v>
      </c>
      <c r="S141" s="19">
        <v>46114.29047453704</v>
      </c>
      <c r="T141" s="14">
        <f t="shared" si="1"/>
        <v>14.00000000372529</v>
      </c>
      <c r="U141" s="14">
        <f t="shared" si="2"/>
        <v>20.000000002328306</v>
      </c>
      <c r="V141" s="28" t="s">
        <v>617</v>
      </c>
      <c r="W141" s="15" t="s">
        <v>39</v>
      </c>
      <c r="X141" s="10" t="s">
        <v>40</v>
      </c>
      <c r="Y141" s="10" t="s">
        <v>41</v>
      </c>
      <c r="Z141" s="15" t="s">
        <v>42</v>
      </c>
      <c r="AA141" s="8" t="s">
        <v>43</v>
      </c>
      <c r="AB141" s="8" t="s">
        <v>29</v>
      </c>
    </row>
    <row r="142" spans="1:28" ht="28.5" x14ac:dyDescent="0.2">
      <c r="A142" s="8">
        <v>141</v>
      </c>
      <c r="B142" s="21" t="s">
        <v>619</v>
      </c>
      <c r="C142" s="15" t="s">
        <v>28</v>
      </c>
      <c r="D142" s="26">
        <v>46114</v>
      </c>
      <c r="E142" s="8" t="s">
        <v>265</v>
      </c>
      <c r="F142" s="12" t="s">
        <v>184</v>
      </c>
      <c r="G142" s="8" t="s">
        <v>55</v>
      </c>
      <c r="H142" s="8" t="s">
        <v>496</v>
      </c>
      <c r="I142" s="8" t="s">
        <v>620</v>
      </c>
      <c r="J142" s="28"/>
      <c r="K142" s="28"/>
      <c r="L142" s="28" t="s">
        <v>621</v>
      </c>
      <c r="M142" s="8" t="s">
        <v>107</v>
      </c>
      <c r="N142" s="8" t="s">
        <v>37</v>
      </c>
      <c r="O142" s="19">
        <v>46114.384386574071</v>
      </c>
      <c r="P142" s="19">
        <v>46114.387499999997</v>
      </c>
      <c r="Q142" s="14">
        <f t="shared" si="0"/>
        <v>4.4833333336282521</v>
      </c>
      <c r="R142" s="19">
        <v>46114.393750000003</v>
      </c>
      <c r="S142" s="19">
        <v>46114.399259259262</v>
      </c>
      <c r="T142" s="14">
        <f t="shared" si="1"/>
        <v>7.9333333333488554</v>
      </c>
      <c r="U142" s="14">
        <f t="shared" si="2"/>
        <v>21.416666675359011</v>
      </c>
      <c r="V142" s="28" t="s">
        <v>622</v>
      </c>
      <c r="W142" s="16" t="s">
        <v>39</v>
      </c>
      <c r="X142" s="8" t="s">
        <v>66</v>
      </c>
      <c r="Y142" s="8" t="s">
        <v>67</v>
      </c>
      <c r="Z142" s="8" t="s">
        <v>67</v>
      </c>
      <c r="AA142" s="8" t="s">
        <v>43</v>
      </c>
      <c r="AB142" s="28" t="s">
        <v>623</v>
      </c>
    </row>
    <row r="143" spans="1:28" ht="25.5" x14ac:dyDescent="0.2">
      <c r="A143" s="8">
        <v>142</v>
      </c>
      <c r="B143" s="21" t="s">
        <v>624</v>
      </c>
      <c r="C143" s="15" t="s">
        <v>28</v>
      </c>
      <c r="D143" s="26">
        <v>46114</v>
      </c>
      <c r="E143" s="8" t="s">
        <v>183</v>
      </c>
      <c r="F143" s="12" t="s">
        <v>625</v>
      </c>
      <c r="G143" s="12" t="s">
        <v>625</v>
      </c>
      <c r="H143" s="8" t="s">
        <v>626</v>
      </c>
      <c r="I143" s="8" t="s">
        <v>142</v>
      </c>
      <c r="J143" s="28"/>
      <c r="K143" s="28"/>
      <c r="L143" s="29" t="s">
        <v>627</v>
      </c>
      <c r="M143" s="8" t="s">
        <v>107</v>
      </c>
      <c r="N143" s="8" t="s">
        <v>346</v>
      </c>
      <c r="O143" s="19">
        <v>45911.673506944448</v>
      </c>
      <c r="P143" s="19">
        <v>45911.674201388887</v>
      </c>
      <c r="Q143" s="14">
        <f t="shared" si="0"/>
        <v>0.99999999278225005</v>
      </c>
      <c r="R143" s="19">
        <v>46114.518750000003</v>
      </c>
      <c r="S143" s="19">
        <v>46114.540972222225</v>
      </c>
      <c r="T143" s="14">
        <f t="shared" si="1"/>
        <v>31.999999999534339</v>
      </c>
      <c r="U143" s="14">
        <f t="shared" si="2"/>
        <v>292129.14999999921</v>
      </c>
      <c r="V143" s="28" t="s">
        <v>628</v>
      </c>
      <c r="W143" s="16" t="s">
        <v>39</v>
      </c>
      <c r="X143" s="15" t="s">
        <v>40</v>
      </c>
      <c r="Y143" s="8" t="s">
        <v>67</v>
      </c>
      <c r="Z143" s="15" t="s">
        <v>49</v>
      </c>
      <c r="AA143" s="8" t="s">
        <v>43</v>
      </c>
      <c r="AB143" s="28" t="s">
        <v>623</v>
      </c>
    </row>
    <row r="144" spans="1:28" ht="28.5" x14ac:dyDescent="0.2">
      <c r="A144" s="8">
        <v>143</v>
      </c>
      <c r="B144" s="21" t="s">
        <v>629</v>
      </c>
      <c r="C144" s="15" t="s">
        <v>28</v>
      </c>
      <c r="D144" s="26">
        <v>46114</v>
      </c>
      <c r="E144" s="8" t="s">
        <v>183</v>
      </c>
      <c r="F144" s="12" t="s">
        <v>630</v>
      </c>
      <c r="G144" s="12" t="s">
        <v>630</v>
      </c>
      <c r="H144" s="8" t="s">
        <v>626</v>
      </c>
      <c r="I144" s="8" t="s">
        <v>142</v>
      </c>
      <c r="J144" s="28"/>
      <c r="K144" s="28"/>
      <c r="L144" s="28" t="s">
        <v>627</v>
      </c>
      <c r="M144" s="8" t="s">
        <v>107</v>
      </c>
      <c r="N144" s="8" t="s">
        <v>37</v>
      </c>
      <c r="O144" s="19">
        <v>46112.724351851852</v>
      </c>
      <c r="P144" s="19">
        <v>46112.724999999999</v>
      </c>
      <c r="Q144" s="14">
        <f t="shared" si="0"/>
        <v>0.93333333148621023</v>
      </c>
      <c r="R144" s="19">
        <v>46114.518750000003</v>
      </c>
      <c r="S144" s="19">
        <v>46114.540972222225</v>
      </c>
      <c r="T144" s="14">
        <f t="shared" si="1"/>
        <v>31.999999999534339</v>
      </c>
      <c r="U144" s="14">
        <f t="shared" si="2"/>
        <v>2615.933333337307</v>
      </c>
      <c r="V144" s="28" t="s">
        <v>628</v>
      </c>
      <c r="W144" s="16" t="s">
        <v>39</v>
      </c>
      <c r="X144" s="15" t="s">
        <v>40</v>
      </c>
      <c r="Y144" s="8" t="s">
        <v>67</v>
      </c>
      <c r="Z144" s="15" t="s">
        <v>49</v>
      </c>
      <c r="AA144" s="8" t="s">
        <v>43</v>
      </c>
      <c r="AB144" s="28" t="s">
        <v>623</v>
      </c>
    </row>
    <row r="145" spans="1:28" ht="14.25" x14ac:dyDescent="0.2">
      <c r="A145" s="41">
        <v>144</v>
      </c>
      <c r="B145" s="50" t="s">
        <v>631</v>
      </c>
      <c r="C145" s="48" t="s">
        <v>28</v>
      </c>
      <c r="D145" s="51">
        <v>46115</v>
      </c>
      <c r="E145" s="41" t="s">
        <v>333</v>
      </c>
      <c r="F145" s="49" t="s">
        <v>184</v>
      </c>
      <c r="G145" s="41" t="s">
        <v>632</v>
      </c>
      <c r="H145" s="41" t="s">
        <v>633</v>
      </c>
      <c r="I145" s="8" t="s">
        <v>634</v>
      </c>
      <c r="J145" s="28"/>
      <c r="K145" s="28"/>
      <c r="L145" s="28" t="s">
        <v>635</v>
      </c>
      <c r="M145" s="8" t="s">
        <v>107</v>
      </c>
      <c r="N145" s="8" t="s">
        <v>37</v>
      </c>
      <c r="O145" s="19">
        <v>46115.098622685182</v>
      </c>
      <c r="P145" s="19">
        <v>46115.102094907408</v>
      </c>
      <c r="Q145" s="14">
        <f t="shared" si="0"/>
        <v>5.0000000058207661</v>
      </c>
      <c r="R145" s="19">
        <v>46115.102094907408</v>
      </c>
      <c r="S145" s="19">
        <v>46115.132800925923</v>
      </c>
      <c r="T145" s="14">
        <f t="shared" si="1"/>
        <v>44.216666661668569</v>
      </c>
      <c r="U145" s="14">
        <f t="shared" si="2"/>
        <v>49.216666667489335</v>
      </c>
      <c r="V145" s="41" t="s">
        <v>633</v>
      </c>
      <c r="W145" s="44" t="s">
        <v>39</v>
      </c>
      <c r="X145" s="47" t="s">
        <v>40</v>
      </c>
      <c r="Y145" s="41" t="s">
        <v>41</v>
      </c>
      <c r="Z145" s="48" t="s">
        <v>53</v>
      </c>
      <c r="AA145" s="41" t="s">
        <v>43</v>
      </c>
      <c r="AB145" s="28"/>
    </row>
    <row r="146" spans="1:28" ht="14.25" x14ac:dyDescent="0.2">
      <c r="A146" s="42"/>
      <c r="B146" s="42"/>
      <c r="C146" s="42"/>
      <c r="D146" s="42"/>
      <c r="E146" s="42"/>
      <c r="F146" s="42"/>
      <c r="G146" s="42"/>
      <c r="H146" s="42"/>
      <c r="I146" s="8" t="s">
        <v>636</v>
      </c>
      <c r="J146" s="28"/>
      <c r="K146" s="28"/>
      <c r="L146" s="28" t="s">
        <v>637</v>
      </c>
      <c r="M146" s="8" t="s">
        <v>107</v>
      </c>
      <c r="N146" s="8" t="s">
        <v>37</v>
      </c>
      <c r="O146" s="19">
        <v>46115.09814814815</v>
      </c>
      <c r="P146" s="19">
        <v>46115.102094907408</v>
      </c>
      <c r="Q146" s="14">
        <f t="shared" si="0"/>
        <v>5.6833333312533796</v>
      </c>
      <c r="R146" s="19">
        <v>46115.102094907408</v>
      </c>
      <c r="S146" s="19">
        <v>46115.130023148151</v>
      </c>
      <c r="T146" s="14">
        <f t="shared" si="1"/>
        <v>40.216666669584811</v>
      </c>
      <c r="U146" s="14">
        <f t="shared" si="2"/>
        <v>45.90000000083819</v>
      </c>
      <c r="V146" s="42"/>
      <c r="W146" s="45"/>
      <c r="X146" s="42"/>
      <c r="Y146" s="42"/>
      <c r="Z146" s="42"/>
      <c r="AA146" s="42"/>
      <c r="AB146" s="28"/>
    </row>
    <row r="147" spans="1:28" ht="14.25" x14ac:dyDescent="0.2">
      <c r="A147" s="42"/>
      <c r="B147" s="42"/>
      <c r="C147" s="42"/>
      <c r="D147" s="42"/>
      <c r="E147" s="42"/>
      <c r="F147" s="42"/>
      <c r="G147" s="42"/>
      <c r="H147" s="42"/>
      <c r="I147" s="8" t="s">
        <v>638</v>
      </c>
      <c r="J147" s="28"/>
      <c r="K147" s="28"/>
      <c r="L147" s="28" t="s">
        <v>639</v>
      </c>
      <c r="M147" s="8" t="s">
        <v>107</v>
      </c>
      <c r="N147" s="8" t="s">
        <v>37</v>
      </c>
      <c r="O147" s="19">
        <v>46115.102048611108</v>
      </c>
      <c r="P147" s="19">
        <v>46115.105567129627</v>
      </c>
      <c r="Q147" s="14">
        <f t="shared" si="0"/>
        <v>5.0666666671168059</v>
      </c>
      <c r="R147" s="19">
        <v>46115.105567129627</v>
      </c>
      <c r="S147" s="19">
        <v>46115.129317129627</v>
      </c>
      <c r="T147" s="14">
        <f t="shared" si="1"/>
        <v>34.200000000419095</v>
      </c>
      <c r="U147" s="14">
        <f t="shared" si="2"/>
        <v>39.266666667535901</v>
      </c>
      <c r="V147" s="42"/>
      <c r="W147" s="45"/>
      <c r="X147" s="42"/>
      <c r="Y147" s="42"/>
      <c r="Z147" s="42"/>
      <c r="AA147" s="42"/>
      <c r="AB147" s="28"/>
    </row>
    <row r="148" spans="1:28" ht="14.25" x14ac:dyDescent="0.2">
      <c r="A148" s="42"/>
      <c r="B148" s="42"/>
      <c r="C148" s="42"/>
      <c r="D148" s="42"/>
      <c r="E148" s="42"/>
      <c r="F148" s="42"/>
      <c r="G148" s="42"/>
      <c r="H148" s="42"/>
      <c r="I148" s="8" t="s">
        <v>640</v>
      </c>
      <c r="J148" s="28"/>
      <c r="K148" s="28"/>
      <c r="L148" s="28" t="s">
        <v>641</v>
      </c>
      <c r="M148" s="8" t="s">
        <v>107</v>
      </c>
      <c r="N148" s="8" t="s">
        <v>37</v>
      </c>
      <c r="O148" s="19">
        <v>46115.110023148147</v>
      </c>
      <c r="P148" s="19">
        <v>46115.111122685186</v>
      </c>
      <c r="Q148" s="14">
        <f t="shared" si="0"/>
        <v>1.5833333367481828</v>
      </c>
      <c r="R148" s="19">
        <v>46115.111122685186</v>
      </c>
      <c r="S148" s="19">
        <v>46115.129444444443</v>
      </c>
      <c r="T148" s="14">
        <f t="shared" si="1"/>
        <v>26.383333329576999</v>
      </c>
      <c r="U148" s="14">
        <f t="shared" si="2"/>
        <v>27.966666666325182</v>
      </c>
      <c r="V148" s="42"/>
      <c r="W148" s="45"/>
      <c r="X148" s="42"/>
      <c r="Y148" s="42"/>
      <c r="Z148" s="42"/>
      <c r="AA148" s="42"/>
      <c r="AB148" s="28"/>
    </row>
    <row r="149" spans="1:28" ht="14.25" x14ac:dyDescent="0.2">
      <c r="A149" s="43"/>
      <c r="B149" s="43"/>
      <c r="C149" s="43"/>
      <c r="D149" s="43"/>
      <c r="E149" s="43"/>
      <c r="F149" s="43"/>
      <c r="G149" s="43"/>
      <c r="H149" s="43"/>
      <c r="I149" s="8" t="s">
        <v>642</v>
      </c>
      <c r="J149" s="28"/>
      <c r="K149" s="28"/>
      <c r="L149" s="28" t="s">
        <v>643</v>
      </c>
      <c r="M149" s="8" t="s">
        <v>107</v>
      </c>
      <c r="N149" s="8" t="s">
        <v>37</v>
      </c>
      <c r="O149" s="19">
        <v>46115.106087962966</v>
      </c>
      <c r="P149" s="19">
        <v>46115.111122685186</v>
      </c>
      <c r="Q149" s="14">
        <f t="shared" si="0"/>
        <v>7.2499999974388629</v>
      </c>
      <c r="R149" s="19">
        <v>46115.111122685186</v>
      </c>
      <c r="S149" s="19">
        <v>46115.129444444443</v>
      </c>
      <c r="T149" s="14">
        <f t="shared" si="1"/>
        <v>26.383333329576999</v>
      </c>
      <c r="U149" s="14">
        <f t="shared" si="2"/>
        <v>33.633333327015862</v>
      </c>
      <c r="V149" s="43"/>
      <c r="W149" s="46"/>
      <c r="X149" s="43"/>
      <c r="Y149" s="43"/>
      <c r="Z149" s="43"/>
      <c r="AA149" s="43"/>
      <c r="AB149" s="28"/>
    </row>
    <row r="150" spans="1:28" ht="28.5" x14ac:dyDescent="0.2">
      <c r="A150" s="8">
        <v>145</v>
      </c>
      <c r="B150" s="15" t="s">
        <v>644</v>
      </c>
      <c r="C150" s="15" t="s">
        <v>28</v>
      </c>
      <c r="D150" s="26">
        <v>46115</v>
      </c>
      <c r="E150" s="8" t="s">
        <v>265</v>
      </c>
      <c r="F150" s="12" t="s">
        <v>184</v>
      </c>
      <c r="G150" s="8" t="s">
        <v>55</v>
      </c>
      <c r="H150" s="8" t="s">
        <v>550</v>
      </c>
      <c r="I150" s="8" t="s">
        <v>645</v>
      </c>
      <c r="J150" s="28"/>
      <c r="K150" s="28"/>
      <c r="L150" s="28" t="s">
        <v>646</v>
      </c>
      <c r="M150" s="8" t="s">
        <v>107</v>
      </c>
      <c r="N150" s="8" t="s">
        <v>37</v>
      </c>
      <c r="O150" s="19">
        <v>46115.365636574075</v>
      </c>
      <c r="P150" s="19">
        <v>46115.367025462961</v>
      </c>
      <c r="Q150" s="14">
        <f t="shared" si="0"/>
        <v>1.9999999960418791</v>
      </c>
      <c r="R150" s="19">
        <v>46115.367025462961</v>
      </c>
      <c r="S150" s="19">
        <v>46115.367418981485</v>
      </c>
      <c r="T150" s="14">
        <f t="shared" si="1"/>
        <v>0.56666667340323329</v>
      </c>
      <c r="U150" s="14">
        <f t="shared" si="2"/>
        <v>2.5666666694451123</v>
      </c>
      <c r="V150" s="28" t="s">
        <v>617</v>
      </c>
      <c r="W150" s="15" t="s">
        <v>39</v>
      </c>
      <c r="X150" s="8" t="s">
        <v>66</v>
      </c>
      <c r="Y150" s="8" t="s">
        <v>67</v>
      </c>
      <c r="Z150" s="8" t="s">
        <v>67</v>
      </c>
      <c r="AA150" s="8" t="s">
        <v>43</v>
      </c>
      <c r="AB150" s="8" t="s">
        <v>29</v>
      </c>
    </row>
    <row r="151" spans="1:28" ht="28.5" x14ac:dyDescent="0.2">
      <c r="A151" s="8">
        <v>146</v>
      </c>
      <c r="B151" s="15" t="s">
        <v>647</v>
      </c>
      <c r="C151" s="15" t="s">
        <v>28</v>
      </c>
      <c r="D151" s="26">
        <v>46116</v>
      </c>
      <c r="E151" s="8" t="s">
        <v>265</v>
      </c>
      <c r="F151" s="12" t="s">
        <v>184</v>
      </c>
      <c r="G151" s="8" t="s">
        <v>55</v>
      </c>
      <c r="H151" s="8" t="s">
        <v>550</v>
      </c>
      <c r="I151" s="8" t="s">
        <v>648</v>
      </c>
      <c r="J151" s="28"/>
      <c r="K151" s="28"/>
      <c r="L151" s="28" t="s">
        <v>649</v>
      </c>
      <c r="M151" s="8" t="s">
        <v>107</v>
      </c>
      <c r="N151" s="8" t="s">
        <v>37</v>
      </c>
      <c r="O151" s="19">
        <v>46116.465254629627</v>
      </c>
      <c r="P151" s="19">
        <v>46116.472222222219</v>
      </c>
      <c r="Q151" s="14">
        <f t="shared" si="0"/>
        <v>10.033333331812173</v>
      </c>
      <c r="R151" s="19">
        <v>46116.474999999999</v>
      </c>
      <c r="S151" s="19">
        <v>46116.480520833335</v>
      </c>
      <c r="T151" s="14">
        <f t="shared" si="1"/>
        <v>7.9500000039115548</v>
      </c>
      <c r="U151" s="14">
        <f t="shared" si="2"/>
        <v>21.983333338284865</v>
      </c>
      <c r="V151" s="28" t="s">
        <v>617</v>
      </c>
      <c r="W151" s="15" t="s">
        <v>39</v>
      </c>
      <c r="X151" s="8" t="s">
        <v>66</v>
      </c>
      <c r="Y151" s="8" t="s">
        <v>67</v>
      </c>
      <c r="Z151" s="8" t="s">
        <v>67</v>
      </c>
      <c r="AA151" s="8" t="s">
        <v>43</v>
      </c>
      <c r="AB151" s="28" t="s">
        <v>650</v>
      </c>
    </row>
    <row r="152" spans="1:28" ht="28.5" x14ac:dyDescent="0.2">
      <c r="A152" s="8">
        <v>147</v>
      </c>
      <c r="B152" s="15" t="s">
        <v>651</v>
      </c>
      <c r="C152" s="15" t="s">
        <v>28</v>
      </c>
      <c r="D152" s="26">
        <v>46117</v>
      </c>
      <c r="E152" s="8" t="s">
        <v>254</v>
      </c>
      <c r="F152" s="12" t="s">
        <v>184</v>
      </c>
      <c r="G152" s="8" t="s">
        <v>55</v>
      </c>
      <c r="H152" s="8" t="s">
        <v>652</v>
      </c>
      <c r="I152" s="8" t="s">
        <v>363</v>
      </c>
      <c r="J152" s="8" t="s">
        <v>29</v>
      </c>
      <c r="K152" s="8" t="s">
        <v>364</v>
      </c>
      <c r="L152" s="8" t="s">
        <v>365</v>
      </c>
      <c r="M152" s="8" t="s">
        <v>107</v>
      </c>
      <c r="N152" s="8" t="s">
        <v>37</v>
      </c>
      <c r="O152" s="19">
        <v>46117.60527777778</v>
      </c>
      <c r="P152" s="19">
        <v>46117.609027777777</v>
      </c>
      <c r="Q152" s="14">
        <f t="shared" si="0"/>
        <v>5.3999999945517629</v>
      </c>
      <c r="R152" s="19">
        <v>46117.60527777778</v>
      </c>
      <c r="S152" s="19">
        <v>46117.611967592595</v>
      </c>
      <c r="T152" s="14">
        <f t="shared" si="1"/>
        <v>9.6333333326037973</v>
      </c>
      <c r="U152" s="14">
        <f t="shared" si="2"/>
        <v>9.6333333326037973</v>
      </c>
      <c r="V152" s="28" t="s">
        <v>617</v>
      </c>
      <c r="W152" s="15" t="s">
        <v>39</v>
      </c>
      <c r="X152" s="15" t="s">
        <v>40</v>
      </c>
      <c r="Y152" s="10" t="s">
        <v>41</v>
      </c>
      <c r="Z152" s="15" t="s">
        <v>42</v>
      </c>
      <c r="AA152" s="8" t="s">
        <v>43</v>
      </c>
      <c r="AB152" s="8" t="s">
        <v>29</v>
      </c>
    </row>
    <row r="153" spans="1:28" ht="28.5" x14ac:dyDescent="0.2">
      <c r="A153" s="8">
        <v>148</v>
      </c>
      <c r="B153" s="15" t="s">
        <v>653</v>
      </c>
      <c r="C153" s="15" t="s">
        <v>28</v>
      </c>
      <c r="D153" s="26">
        <v>46117</v>
      </c>
      <c r="E153" s="8" t="s">
        <v>290</v>
      </c>
      <c r="F153" s="12" t="s">
        <v>184</v>
      </c>
      <c r="G153" s="8" t="s">
        <v>55</v>
      </c>
      <c r="H153" s="8" t="s">
        <v>652</v>
      </c>
      <c r="I153" s="8" t="s">
        <v>654</v>
      </c>
      <c r="J153" s="28"/>
      <c r="K153" s="28"/>
      <c r="L153" s="28" t="s">
        <v>655</v>
      </c>
      <c r="M153" s="8" t="s">
        <v>107</v>
      </c>
      <c r="N153" s="8" t="s">
        <v>37</v>
      </c>
      <c r="O153" s="30">
        <v>46117.679398148146</v>
      </c>
      <c r="P153" s="30">
        <v>46117.680694444447</v>
      </c>
      <c r="Q153" s="14">
        <f t="shared" si="0"/>
        <v>1.8666666734497994</v>
      </c>
      <c r="R153" s="30">
        <v>46117.680694444447</v>
      </c>
      <c r="S153" s="30">
        <v>46117.682928240742</v>
      </c>
      <c r="T153" s="14">
        <f t="shared" si="1"/>
        <v>3.2166666642297059</v>
      </c>
      <c r="U153" s="14">
        <f t="shared" si="2"/>
        <v>5.0833333376795053</v>
      </c>
      <c r="V153" s="28" t="s">
        <v>617</v>
      </c>
      <c r="W153" s="15" t="s">
        <v>39</v>
      </c>
      <c r="X153" s="8" t="s">
        <v>40</v>
      </c>
      <c r="Y153" s="10" t="s">
        <v>41</v>
      </c>
      <c r="Z153" s="15" t="s">
        <v>42</v>
      </c>
      <c r="AA153" s="8" t="s">
        <v>43</v>
      </c>
      <c r="AB153" s="28" t="s">
        <v>29</v>
      </c>
    </row>
    <row r="154" spans="1:28" ht="28.5" x14ac:dyDescent="0.2">
      <c r="A154" s="8">
        <v>149</v>
      </c>
      <c r="B154" s="15" t="s">
        <v>656</v>
      </c>
      <c r="C154" s="15" t="s">
        <v>28</v>
      </c>
      <c r="D154" s="26">
        <v>46117</v>
      </c>
      <c r="E154" s="8" t="s">
        <v>290</v>
      </c>
      <c r="F154" s="12" t="s">
        <v>184</v>
      </c>
      <c r="G154" s="8" t="s">
        <v>55</v>
      </c>
      <c r="H154" s="8" t="s">
        <v>657</v>
      </c>
      <c r="I154" s="8" t="s">
        <v>654</v>
      </c>
      <c r="J154" s="28"/>
      <c r="K154" s="28"/>
      <c r="L154" s="28" t="s">
        <v>655</v>
      </c>
      <c r="M154" s="8" t="s">
        <v>107</v>
      </c>
      <c r="N154" s="8" t="s">
        <v>37</v>
      </c>
      <c r="O154" s="30">
        <v>46117.71434027778</v>
      </c>
      <c r="P154" s="30">
        <v>46117.71671296296</v>
      </c>
      <c r="Q154" s="14">
        <f t="shared" si="0"/>
        <v>3.4166666585952044</v>
      </c>
      <c r="R154" s="30">
        <v>46117.71671296296</v>
      </c>
      <c r="S154" s="30">
        <v>46117.718009259261</v>
      </c>
      <c r="T154" s="14">
        <f t="shared" si="1"/>
        <v>1.8666666734497994</v>
      </c>
      <c r="U154" s="14">
        <f t="shared" si="2"/>
        <v>5.2833333320450038</v>
      </c>
      <c r="V154" s="28" t="s">
        <v>658</v>
      </c>
      <c r="W154" s="15" t="s">
        <v>39</v>
      </c>
      <c r="X154" s="8" t="s">
        <v>40</v>
      </c>
      <c r="Y154" s="8" t="s">
        <v>659</v>
      </c>
      <c r="Z154" s="8" t="s">
        <v>660</v>
      </c>
      <c r="AA154" s="8" t="s">
        <v>43</v>
      </c>
      <c r="AB154" s="28" t="s">
        <v>29</v>
      </c>
    </row>
    <row r="155" spans="1:28" ht="28.5" x14ac:dyDescent="0.2">
      <c r="A155" s="8">
        <v>150</v>
      </c>
      <c r="B155" s="15" t="s">
        <v>661</v>
      </c>
      <c r="C155" s="15" t="s">
        <v>28</v>
      </c>
      <c r="D155" s="26">
        <v>46118</v>
      </c>
      <c r="E155" s="8" t="s">
        <v>662</v>
      </c>
      <c r="F155" s="12" t="s">
        <v>184</v>
      </c>
      <c r="G155" s="8" t="s">
        <v>55</v>
      </c>
      <c r="H155" s="8" t="s">
        <v>663</v>
      </c>
      <c r="I155" s="8" t="s">
        <v>664</v>
      </c>
      <c r="J155" s="28"/>
      <c r="K155" s="28"/>
      <c r="L155" s="28" t="s">
        <v>665</v>
      </c>
      <c r="M155" s="8" t="s">
        <v>107</v>
      </c>
      <c r="N155" s="8" t="s">
        <v>37</v>
      </c>
      <c r="O155" s="30">
        <v>46118.238379629627</v>
      </c>
      <c r="P155" s="30">
        <v>46118.245138888888</v>
      </c>
      <c r="Q155" s="14">
        <f t="shared" si="0"/>
        <v>9.733333335025236</v>
      </c>
      <c r="R155" s="30">
        <v>46118.272916666669</v>
      </c>
      <c r="S155" s="31">
        <v>46118.306192129632</v>
      </c>
      <c r="T155" s="14">
        <f t="shared" si="1"/>
        <v>47.916666667442769</v>
      </c>
      <c r="U155" s="14">
        <f t="shared" si="2"/>
        <v>97.650000007124618</v>
      </c>
      <c r="V155" s="28" t="s">
        <v>666</v>
      </c>
      <c r="W155" s="15" t="s">
        <v>39</v>
      </c>
      <c r="X155" s="15" t="s">
        <v>40</v>
      </c>
      <c r="Y155" s="10" t="s">
        <v>41</v>
      </c>
      <c r="Z155" s="15" t="s">
        <v>42</v>
      </c>
      <c r="AA155" s="8" t="s">
        <v>43</v>
      </c>
      <c r="AB155" s="28" t="s">
        <v>623</v>
      </c>
    </row>
    <row r="156" spans="1:28" ht="28.5" x14ac:dyDescent="0.2">
      <c r="A156" s="8">
        <v>151</v>
      </c>
      <c r="B156" s="15" t="s">
        <v>667</v>
      </c>
      <c r="C156" s="15" t="s">
        <v>28</v>
      </c>
      <c r="D156" s="26">
        <v>46119</v>
      </c>
      <c r="E156" s="8" t="s">
        <v>254</v>
      </c>
      <c r="F156" s="12" t="s">
        <v>184</v>
      </c>
      <c r="G156" s="8" t="s">
        <v>55</v>
      </c>
      <c r="H156" s="8" t="s">
        <v>668</v>
      </c>
      <c r="I156" s="8" t="s">
        <v>363</v>
      </c>
      <c r="J156" s="8" t="s">
        <v>29</v>
      </c>
      <c r="K156" s="8" t="s">
        <v>364</v>
      </c>
      <c r="L156" s="8" t="s">
        <v>365</v>
      </c>
      <c r="M156" s="8" t="s">
        <v>107</v>
      </c>
      <c r="N156" s="8" t="s">
        <v>37</v>
      </c>
      <c r="O156" s="31">
        <v>46119.322488425925</v>
      </c>
      <c r="P156" s="30">
        <v>46119.324999999997</v>
      </c>
      <c r="Q156" s="14">
        <f t="shared" si="0"/>
        <v>3.6166666634380817</v>
      </c>
      <c r="R156" s="31">
        <v>46119.322488425925</v>
      </c>
      <c r="S156" s="31">
        <v>46119.326655092591</v>
      </c>
      <c r="T156" s="14">
        <f t="shared" si="1"/>
        <v>5.9999999986030161</v>
      </c>
      <c r="U156" s="14">
        <f t="shared" si="2"/>
        <v>5.9999999986030161</v>
      </c>
      <c r="V156" s="28" t="s">
        <v>669</v>
      </c>
      <c r="W156" s="15" t="s">
        <v>39</v>
      </c>
      <c r="X156" s="10" t="s">
        <v>40</v>
      </c>
      <c r="Y156" s="10" t="s">
        <v>41</v>
      </c>
      <c r="Z156" s="15" t="s">
        <v>42</v>
      </c>
      <c r="AA156" s="8" t="s">
        <v>43</v>
      </c>
      <c r="AB156" s="8" t="s">
        <v>29</v>
      </c>
    </row>
    <row r="157" spans="1:28" ht="28.5" x14ac:dyDescent="0.2">
      <c r="A157" s="8">
        <v>152</v>
      </c>
      <c r="B157" s="15" t="s">
        <v>670</v>
      </c>
      <c r="C157" s="15" t="s">
        <v>28</v>
      </c>
      <c r="D157" s="26">
        <v>46119</v>
      </c>
      <c r="E157" s="8" t="s">
        <v>254</v>
      </c>
      <c r="F157" s="12" t="s">
        <v>184</v>
      </c>
      <c r="G157" s="8" t="s">
        <v>55</v>
      </c>
      <c r="H157" s="8" t="s">
        <v>652</v>
      </c>
      <c r="I157" s="8" t="s">
        <v>363</v>
      </c>
      <c r="J157" s="8" t="s">
        <v>29</v>
      </c>
      <c r="K157" s="8" t="s">
        <v>364</v>
      </c>
      <c r="L157" s="8" t="s">
        <v>365</v>
      </c>
      <c r="M157" s="8" t="s">
        <v>107</v>
      </c>
      <c r="N157" s="8" t="s">
        <v>37</v>
      </c>
      <c r="O157" s="31">
        <v>46119.40792824074</v>
      </c>
      <c r="P157" s="30">
        <v>46119.409722222219</v>
      </c>
      <c r="Q157" s="14">
        <f t="shared" si="0"/>
        <v>2.5833333295304328</v>
      </c>
      <c r="R157" s="31">
        <v>46119.40792824074</v>
      </c>
      <c r="S157" s="31">
        <v>46119.413946759261</v>
      </c>
      <c r="T157" s="14">
        <f t="shared" si="1"/>
        <v>8.6666666704695672</v>
      </c>
      <c r="U157" s="14">
        <f t="shared" si="2"/>
        <v>8.6666666704695672</v>
      </c>
      <c r="V157" s="28" t="s">
        <v>671</v>
      </c>
      <c r="W157" s="15" t="s">
        <v>39</v>
      </c>
      <c r="X157" s="10" t="s">
        <v>40</v>
      </c>
      <c r="Y157" s="10" t="s">
        <v>41</v>
      </c>
      <c r="Z157" s="15" t="s">
        <v>42</v>
      </c>
      <c r="AA157" s="8" t="s">
        <v>43</v>
      </c>
      <c r="AB157" s="28" t="s">
        <v>672</v>
      </c>
    </row>
    <row r="158" spans="1:28" ht="28.5" x14ac:dyDescent="0.2">
      <c r="A158" s="8">
        <v>153</v>
      </c>
      <c r="B158" s="15" t="s">
        <v>673</v>
      </c>
      <c r="C158" s="15" t="s">
        <v>28</v>
      </c>
      <c r="D158" s="26">
        <v>46120</v>
      </c>
      <c r="E158" s="8" t="s">
        <v>265</v>
      </c>
      <c r="F158" s="12" t="s">
        <v>184</v>
      </c>
      <c r="G158" s="8" t="s">
        <v>55</v>
      </c>
      <c r="H158" s="8" t="s">
        <v>550</v>
      </c>
      <c r="I158" s="8" t="s">
        <v>363</v>
      </c>
      <c r="J158" s="8" t="s">
        <v>29</v>
      </c>
      <c r="K158" s="8" t="s">
        <v>364</v>
      </c>
      <c r="L158" s="8" t="s">
        <v>365</v>
      </c>
      <c r="M158" s="8" t="s">
        <v>107</v>
      </c>
      <c r="N158" s="8" t="s">
        <v>37</v>
      </c>
      <c r="O158" s="30">
        <v>46120.236168981479</v>
      </c>
      <c r="P158" s="30">
        <v>46120.238252314812</v>
      </c>
      <c r="Q158" s="14">
        <f t="shared" si="0"/>
        <v>2.9999999993015081</v>
      </c>
      <c r="R158" s="30">
        <v>46120.270138888889</v>
      </c>
      <c r="S158" s="31">
        <v>46120.325567129628</v>
      </c>
      <c r="T158" s="14">
        <f t="shared" si="1"/>
        <v>79.816666664555669</v>
      </c>
      <c r="U158" s="14">
        <f t="shared" si="2"/>
        <v>128.73333333525807</v>
      </c>
      <c r="V158" s="28" t="s">
        <v>674</v>
      </c>
      <c r="W158" s="15" t="s">
        <v>39</v>
      </c>
      <c r="X158" s="10" t="s">
        <v>40</v>
      </c>
      <c r="Y158" s="10" t="s">
        <v>41</v>
      </c>
      <c r="Z158" s="15" t="s">
        <v>42</v>
      </c>
      <c r="AA158" s="8" t="s">
        <v>43</v>
      </c>
      <c r="AB158" s="28" t="s">
        <v>675</v>
      </c>
    </row>
    <row r="159" spans="1:28" ht="28.5" x14ac:dyDescent="0.2">
      <c r="A159" s="8">
        <v>154</v>
      </c>
      <c r="B159" s="15" t="s">
        <v>676</v>
      </c>
      <c r="C159" s="15" t="s">
        <v>28</v>
      </c>
      <c r="D159" s="26">
        <v>46120</v>
      </c>
      <c r="E159" s="8" t="s">
        <v>254</v>
      </c>
      <c r="F159" s="12" t="s">
        <v>184</v>
      </c>
      <c r="G159" s="8" t="s">
        <v>55</v>
      </c>
      <c r="H159" s="8" t="s">
        <v>550</v>
      </c>
      <c r="I159" s="8" t="s">
        <v>363</v>
      </c>
      <c r="J159" s="8" t="s">
        <v>29</v>
      </c>
      <c r="K159" s="8" t="s">
        <v>364</v>
      </c>
      <c r="L159" s="8" t="s">
        <v>365</v>
      </c>
      <c r="M159" s="8" t="s">
        <v>107</v>
      </c>
      <c r="N159" s="8" t="s">
        <v>37</v>
      </c>
      <c r="O159" s="31">
        <v>46120.337824074071</v>
      </c>
      <c r="P159" s="31">
        <v>46120.339583333334</v>
      </c>
      <c r="Q159" s="14">
        <f t="shared" si="0"/>
        <v>2.5333333387970924</v>
      </c>
      <c r="R159" s="31">
        <v>46120.337824074071</v>
      </c>
      <c r="S159" s="31">
        <v>46120.37232638889</v>
      </c>
      <c r="T159" s="14">
        <f t="shared" si="1"/>
        <v>49.68333333847113</v>
      </c>
      <c r="U159" s="14">
        <f t="shared" si="2"/>
        <v>49.68333333847113</v>
      </c>
      <c r="V159" s="28" t="s">
        <v>674</v>
      </c>
      <c r="W159" s="15" t="s">
        <v>39</v>
      </c>
      <c r="X159" s="10" t="s">
        <v>40</v>
      </c>
      <c r="Y159" s="10" t="s">
        <v>41</v>
      </c>
      <c r="Z159" s="15" t="s">
        <v>42</v>
      </c>
      <c r="AA159" s="8" t="s">
        <v>43</v>
      </c>
      <c r="AB159" s="28"/>
    </row>
    <row r="160" spans="1:28" ht="28.5" x14ac:dyDescent="0.2">
      <c r="A160" s="8">
        <v>155</v>
      </c>
      <c r="B160" s="15" t="s">
        <v>677</v>
      </c>
      <c r="C160" s="15" t="s">
        <v>28</v>
      </c>
      <c r="D160" s="26">
        <v>46120</v>
      </c>
      <c r="E160" s="8" t="s">
        <v>254</v>
      </c>
      <c r="F160" s="12" t="s">
        <v>184</v>
      </c>
      <c r="G160" s="8" t="s">
        <v>55</v>
      </c>
      <c r="H160" s="8" t="s">
        <v>550</v>
      </c>
      <c r="I160" s="8" t="s">
        <v>678</v>
      </c>
      <c r="J160" s="15" t="s">
        <v>29</v>
      </c>
      <c r="K160" s="8" t="s">
        <v>679</v>
      </c>
      <c r="L160" s="8" t="s">
        <v>680</v>
      </c>
      <c r="M160" s="8" t="s">
        <v>107</v>
      </c>
      <c r="N160" s="8" t="s">
        <v>37</v>
      </c>
      <c r="O160" s="31">
        <v>46120.299421296295</v>
      </c>
      <c r="P160" s="31">
        <v>46120.306944444441</v>
      </c>
      <c r="Q160" s="14">
        <f t="shared" si="0"/>
        <v>10.833333330228925</v>
      </c>
      <c r="R160" s="31">
        <v>46120.340277777781</v>
      </c>
      <c r="S160" s="30">
        <v>46120.577303240738</v>
      </c>
      <c r="T160" s="14">
        <f t="shared" si="1"/>
        <v>341.31666665780358</v>
      </c>
      <c r="U160" s="14">
        <f t="shared" si="2"/>
        <v>400.14999999781139</v>
      </c>
      <c r="V160" s="28" t="s">
        <v>681</v>
      </c>
      <c r="W160" s="15" t="s">
        <v>39</v>
      </c>
      <c r="X160" s="10" t="s">
        <v>40</v>
      </c>
      <c r="Y160" s="10" t="s">
        <v>41</v>
      </c>
      <c r="Z160" s="15" t="s">
        <v>42</v>
      </c>
      <c r="AA160" s="8" t="s">
        <v>43</v>
      </c>
      <c r="AB160" s="28" t="s">
        <v>682</v>
      </c>
    </row>
    <row r="161" spans="1:28" ht="28.5" x14ac:dyDescent="0.2">
      <c r="A161" s="8">
        <v>156</v>
      </c>
      <c r="B161" s="15" t="s">
        <v>683</v>
      </c>
      <c r="C161" s="15" t="s">
        <v>28</v>
      </c>
      <c r="D161" s="26">
        <v>46121</v>
      </c>
      <c r="E161" s="8" t="s">
        <v>265</v>
      </c>
      <c r="F161" s="12" t="s">
        <v>184</v>
      </c>
      <c r="G161" s="8" t="s">
        <v>55</v>
      </c>
      <c r="H161" s="8" t="s">
        <v>550</v>
      </c>
      <c r="I161" s="8" t="s">
        <v>363</v>
      </c>
      <c r="J161" s="8" t="s">
        <v>29</v>
      </c>
      <c r="K161" s="8" t="s">
        <v>364</v>
      </c>
      <c r="L161" s="8" t="s">
        <v>365</v>
      </c>
      <c r="M161" s="8" t="s">
        <v>107</v>
      </c>
      <c r="N161" s="8" t="s">
        <v>37</v>
      </c>
      <c r="O161" s="31">
        <v>46121.264826388891</v>
      </c>
      <c r="P161" s="31">
        <v>46121.265972222223</v>
      </c>
      <c r="Q161" s="14">
        <f t="shared" si="0"/>
        <v>1.6499999980442226</v>
      </c>
      <c r="R161" s="31">
        <v>46121.289502314816</v>
      </c>
      <c r="S161" s="31">
        <v>46121.311423611114</v>
      </c>
      <c r="T161" s="14">
        <f t="shared" si="1"/>
        <v>31.566666669677943</v>
      </c>
      <c r="U161" s="14">
        <f t="shared" si="2"/>
        <v>67.100000000791624</v>
      </c>
      <c r="V161" s="28" t="s">
        <v>684</v>
      </c>
      <c r="W161" s="15" t="s">
        <v>39</v>
      </c>
      <c r="X161" s="10" t="s">
        <v>40</v>
      </c>
      <c r="Y161" s="10" t="s">
        <v>41</v>
      </c>
      <c r="Z161" s="15" t="s">
        <v>42</v>
      </c>
      <c r="AA161" s="8" t="s">
        <v>43</v>
      </c>
      <c r="AB161" s="28" t="s">
        <v>546</v>
      </c>
    </row>
    <row r="162" spans="1:28" ht="28.5" x14ac:dyDescent="0.2">
      <c r="A162" s="8">
        <v>157</v>
      </c>
      <c r="B162" s="15" t="s">
        <v>685</v>
      </c>
      <c r="C162" s="15" t="s">
        <v>28</v>
      </c>
      <c r="D162" s="26">
        <v>46121</v>
      </c>
      <c r="E162" s="8" t="s">
        <v>333</v>
      </c>
      <c r="F162" s="12" t="s">
        <v>184</v>
      </c>
      <c r="G162" s="8" t="s">
        <v>55</v>
      </c>
      <c r="H162" s="8" t="s">
        <v>550</v>
      </c>
      <c r="I162" s="8" t="s">
        <v>363</v>
      </c>
      <c r="J162" s="8" t="s">
        <v>29</v>
      </c>
      <c r="K162" s="8" t="s">
        <v>364</v>
      </c>
      <c r="L162" s="8" t="s">
        <v>365</v>
      </c>
      <c r="M162" s="8" t="s">
        <v>107</v>
      </c>
      <c r="N162" s="8" t="s">
        <v>37</v>
      </c>
      <c r="O162" s="31">
        <v>46121.505856481483</v>
      </c>
      <c r="P162" s="31">
        <v>46121.50818287037</v>
      </c>
      <c r="Q162" s="14">
        <f t="shared" si="0"/>
        <v>3.3499999972991645</v>
      </c>
      <c r="R162" s="31">
        <v>46121.512800925928</v>
      </c>
      <c r="S162" s="31">
        <v>46121.517905092594</v>
      </c>
      <c r="T162" s="14">
        <f t="shared" si="1"/>
        <v>7.3499999998603016</v>
      </c>
      <c r="U162" s="14">
        <f t="shared" si="2"/>
        <v>17.350000001024455</v>
      </c>
      <c r="V162" s="28" t="s">
        <v>686</v>
      </c>
      <c r="W162" s="15" t="s">
        <v>39</v>
      </c>
      <c r="X162" s="10" t="s">
        <v>40</v>
      </c>
      <c r="Y162" s="10" t="s">
        <v>41</v>
      </c>
      <c r="Z162" s="15" t="s">
        <v>42</v>
      </c>
      <c r="AA162" s="8" t="s">
        <v>43</v>
      </c>
      <c r="AB162" s="28" t="s">
        <v>546</v>
      </c>
    </row>
    <row r="163" spans="1:28" ht="28.5" x14ac:dyDescent="0.2">
      <c r="A163" s="8">
        <v>158</v>
      </c>
      <c r="B163" s="15" t="s">
        <v>687</v>
      </c>
      <c r="C163" s="15" t="s">
        <v>28</v>
      </c>
      <c r="D163" s="26">
        <v>46121</v>
      </c>
      <c r="E163" s="8" t="s">
        <v>333</v>
      </c>
      <c r="F163" s="12" t="s">
        <v>184</v>
      </c>
      <c r="G163" s="8" t="s">
        <v>55</v>
      </c>
      <c r="H163" s="8" t="s">
        <v>550</v>
      </c>
      <c r="I163" s="8" t="s">
        <v>363</v>
      </c>
      <c r="J163" s="8" t="s">
        <v>29</v>
      </c>
      <c r="K163" s="8" t="s">
        <v>364</v>
      </c>
      <c r="L163" s="8" t="s">
        <v>365</v>
      </c>
      <c r="M163" s="8" t="s">
        <v>107</v>
      </c>
      <c r="N163" s="8" t="s">
        <v>37</v>
      </c>
      <c r="O163" s="31">
        <v>46121.541932870372</v>
      </c>
      <c r="P163" s="31">
        <v>46121.544710648152</v>
      </c>
      <c r="Q163" s="14">
        <f t="shared" si="0"/>
        <v>4.0000000025611371</v>
      </c>
      <c r="R163" s="31">
        <v>46121.548877314817</v>
      </c>
      <c r="S163" s="31">
        <v>46121.552847222221</v>
      </c>
      <c r="T163" s="14">
        <f t="shared" si="1"/>
        <v>5.7166666619013995</v>
      </c>
      <c r="U163" s="14">
        <f t="shared" si="2"/>
        <v>15.716666663065553</v>
      </c>
      <c r="V163" s="28" t="s">
        <v>688</v>
      </c>
      <c r="W163" s="15" t="s">
        <v>39</v>
      </c>
      <c r="X163" s="10" t="s">
        <v>40</v>
      </c>
      <c r="Y163" s="10" t="s">
        <v>41</v>
      </c>
      <c r="Z163" s="15" t="s">
        <v>42</v>
      </c>
      <c r="AA163" s="8" t="s">
        <v>43</v>
      </c>
      <c r="AB163" s="28" t="s">
        <v>546</v>
      </c>
    </row>
    <row r="164" spans="1:28" ht="28.5" x14ac:dyDescent="0.2">
      <c r="A164" s="8">
        <v>159</v>
      </c>
      <c r="B164" s="15" t="s">
        <v>689</v>
      </c>
      <c r="C164" s="15" t="s">
        <v>28</v>
      </c>
      <c r="D164" s="26">
        <v>46121</v>
      </c>
      <c r="E164" s="8" t="s">
        <v>265</v>
      </c>
      <c r="F164" s="12" t="s">
        <v>184</v>
      </c>
      <c r="G164" s="8" t="s">
        <v>55</v>
      </c>
      <c r="H164" s="8" t="s">
        <v>690</v>
      </c>
      <c r="I164" s="8" t="s">
        <v>363</v>
      </c>
      <c r="J164" s="8" t="s">
        <v>29</v>
      </c>
      <c r="K164" s="8" t="s">
        <v>364</v>
      </c>
      <c r="L164" s="8" t="s">
        <v>365</v>
      </c>
      <c r="M164" s="8" t="s">
        <v>107</v>
      </c>
      <c r="N164" s="8" t="s">
        <v>37</v>
      </c>
      <c r="O164" s="31">
        <v>46121.67460648148</v>
      </c>
      <c r="P164" s="31">
        <v>46121.675995370373</v>
      </c>
      <c r="Q164" s="14">
        <f t="shared" si="0"/>
        <v>2.000000006519258</v>
      </c>
      <c r="R164" s="31">
        <v>46121.67460648148</v>
      </c>
      <c r="S164" s="31">
        <v>46121.678078703706</v>
      </c>
      <c r="T164" s="14">
        <f t="shared" si="1"/>
        <v>5.0000000058207661</v>
      </c>
      <c r="U164" s="14">
        <f t="shared" si="2"/>
        <v>5.0000000058207661</v>
      </c>
      <c r="V164" s="8" t="s">
        <v>690</v>
      </c>
      <c r="W164" s="15" t="s">
        <v>39</v>
      </c>
      <c r="X164" s="8" t="s">
        <v>40</v>
      </c>
      <c r="Y164" s="10" t="s">
        <v>41</v>
      </c>
      <c r="Z164" s="15" t="s">
        <v>42</v>
      </c>
      <c r="AA164" s="8" t="s">
        <v>43</v>
      </c>
      <c r="AB164" s="28" t="s">
        <v>29</v>
      </c>
    </row>
    <row r="165" spans="1:28" x14ac:dyDescent="0.25">
      <c r="A165" s="8">
        <v>160</v>
      </c>
      <c r="B165" s="15" t="s">
        <v>691</v>
      </c>
      <c r="C165" s="15" t="s">
        <v>28</v>
      </c>
      <c r="D165" s="26">
        <v>46122</v>
      </c>
      <c r="E165" s="8" t="s">
        <v>254</v>
      </c>
      <c r="F165" s="12" t="s">
        <v>692</v>
      </c>
      <c r="G165" s="8" t="s">
        <v>693</v>
      </c>
      <c r="H165" s="8" t="s">
        <v>694</v>
      </c>
      <c r="I165" s="8" t="s">
        <v>695</v>
      </c>
      <c r="J165" s="8" t="s">
        <v>29</v>
      </c>
      <c r="K165" s="8"/>
      <c r="L165" s="32" t="s">
        <v>696</v>
      </c>
      <c r="M165" s="8" t="s">
        <v>697</v>
      </c>
      <c r="N165" s="8" t="s">
        <v>37</v>
      </c>
      <c r="O165" s="31">
        <v>46122.042662037034</v>
      </c>
      <c r="P165" s="31">
        <v>46122.046134259261</v>
      </c>
      <c r="Q165" s="14">
        <f t="shared" si="0"/>
        <v>5.0000000058207661</v>
      </c>
      <c r="R165" s="31">
        <v>46122.054467592592</v>
      </c>
      <c r="S165" s="31">
        <v>46122.139189814814</v>
      </c>
      <c r="T165" s="14">
        <f t="shared" si="1"/>
        <v>121.99999999953434</v>
      </c>
      <c r="U165" s="14">
        <f t="shared" si="2"/>
        <v>139.00000000256114</v>
      </c>
      <c r="V165" s="28" t="s">
        <v>698</v>
      </c>
      <c r="W165" s="15" t="s">
        <v>39</v>
      </c>
      <c r="X165" s="10" t="s">
        <v>40</v>
      </c>
      <c r="Y165" s="10" t="s">
        <v>41</v>
      </c>
      <c r="Z165" s="15" t="s">
        <v>699</v>
      </c>
      <c r="AA165" s="8" t="s">
        <v>700</v>
      </c>
      <c r="AB165" s="28" t="s">
        <v>29</v>
      </c>
    </row>
    <row r="166" spans="1:28" ht="28.5" x14ac:dyDescent="0.2">
      <c r="A166" s="8">
        <v>161</v>
      </c>
      <c r="B166" s="15" t="s">
        <v>701</v>
      </c>
      <c r="C166" s="15" t="s">
        <v>28</v>
      </c>
      <c r="D166" s="26">
        <v>46122</v>
      </c>
      <c r="E166" s="8" t="s">
        <v>254</v>
      </c>
      <c r="F166" s="12" t="s">
        <v>184</v>
      </c>
      <c r="G166" s="8" t="s">
        <v>55</v>
      </c>
      <c r="H166" s="8" t="s">
        <v>702</v>
      </c>
      <c r="I166" s="8" t="s">
        <v>363</v>
      </c>
      <c r="J166" s="8" t="s">
        <v>29</v>
      </c>
      <c r="K166" s="8" t="s">
        <v>364</v>
      </c>
      <c r="L166" s="8" t="s">
        <v>365</v>
      </c>
      <c r="M166" s="8" t="s">
        <v>107</v>
      </c>
      <c r="N166" s="8" t="s">
        <v>37</v>
      </c>
      <c r="O166" s="31">
        <v>46122.185023148151</v>
      </c>
      <c r="P166" s="31">
        <v>46122.190578703703</v>
      </c>
      <c r="Q166" s="14">
        <f t="shared" si="0"/>
        <v>7.9999999946448952</v>
      </c>
      <c r="R166" s="31">
        <v>46122.190578703703</v>
      </c>
      <c r="S166" s="31">
        <v>46122.202384259261</v>
      </c>
      <c r="T166" s="14">
        <f t="shared" si="1"/>
        <v>17.000000003026798</v>
      </c>
      <c r="U166" s="14">
        <f t="shared" si="2"/>
        <v>24.999999997671694</v>
      </c>
      <c r="V166" s="28" t="s">
        <v>703</v>
      </c>
      <c r="W166" s="15" t="s">
        <v>39</v>
      </c>
      <c r="X166" s="10" t="s">
        <v>40</v>
      </c>
      <c r="Y166" s="10" t="s">
        <v>41</v>
      </c>
      <c r="Z166" s="15" t="s">
        <v>704</v>
      </c>
      <c r="AA166" s="8" t="s">
        <v>43</v>
      </c>
      <c r="AB166" s="28" t="s">
        <v>705</v>
      </c>
    </row>
    <row r="167" spans="1:28" ht="28.5" x14ac:dyDescent="0.2">
      <c r="A167" s="8">
        <v>162</v>
      </c>
      <c r="B167" s="15" t="s">
        <v>706</v>
      </c>
      <c r="C167" s="15" t="s">
        <v>28</v>
      </c>
      <c r="D167" s="26">
        <v>46122</v>
      </c>
      <c r="E167" s="8" t="s">
        <v>290</v>
      </c>
      <c r="F167" s="12" t="s">
        <v>184</v>
      </c>
      <c r="G167" s="8" t="s">
        <v>55</v>
      </c>
      <c r="H167" s="8" t="s">
        <v>707</v>
      </c>
      <c r="I167" s="8" t="s">
        <v>363</v>
      </c>
      <c r="J167" s="8" t="s">
        <v>29</v>
      </c>
      <c r="K167" s="8" t="s">
        <v>364</v>
      </c>
      <c r="L167" s="8" t="s">
        <v>365</v>
      </c>
      <c r="M167" s="8" t="s">
        <v>107</v>
      </c>
      <c r="N167" s="8" t="s">
        <v>37</v>
      </c>
      <c r="O167" s="31">
        <v>46122.302384259259</v>
      </c>
      <c r="P167" s="31">
        <v>46122.304467592592</v>
      </c>
      <c r="Q167" s="14">
        <f t="shared" si="0"/>
        <v>2.9999999993015081</v>
      </c>
      <c r="R167" s="31">
        <v>46122.304467592592</v>
      </c>
      <c r="S167" s="31">
        <v>46122.308634259258</v>
      </c>
      <c r="T167" s="14">
        <f t="shared" si="1"/>
        <v>5.9999999986030161</v>
      </c>
      <c r="U167" s="14">
        <f t="shared" si="2"/>
        <v>8.9999999979045242</v>
      </c>
      <c r="V167" s="28" t="s">
        <v>703</v>
      </c>
      <c r="W167" s="15" t="s">
        <v>39</v>
      </c>
      <c r="X167" s="10" t="s">
        <v>40</v>
      </c>
      <c r="Y167" s="10" t="s">
        <v>41</v>
      </c>
      <c r="Z167" s="15" t="s">
        <v>704</v>
      </c>
      <c r="AA167" s="8" t="s">
        <v>43</v>
      </c>
      <c r="AB167" s="28" t="s">
        <v>705</v>
      </c>
    </row>
    <row r="168" spans="1:28" ht="28.5" x14ac:dyDescent="0.2">
      <c r="A168" s="8">
        <v>163</v>
      </c>
      <c r="B168" s="15" t="s">
        <v>708</v>
      </c>
      <c r="C168" s="15" t="s">
        <v>28</v>
      </c>
      <c r="D168" s="26">
        <v>46122</v>
      </c>
      <c r="E168" s="8" t="s">
        <v>333</v>
      </c>
      <c r="F168" s="12" t="s">
        <v>184</v>
      </c>
      <c r="G168" s="8" t="s">
        <v>55</v>
      </c>
      <c r="H168" s="8" t="s">
        <v>709</v>
      </c>
      <c r="I168" s="8" t="s">
        <v>363</v>
      </c>
      <c r="J168" s="8" t="s">
        <v>29</v>
      </c>
      <c r="K168" s="8" t="s">
        <v>364</v>
      </c>
      <c r="L168" s="8" t="s">
        <v>365</v>
      </c>
      <c r="M168" s="8" t="s">
        <v>107</v>
      </c>
      <c r="N168" s="8" t="s">
        <v>37</v>
      </c>
      <c r="O168" s="31">
        <v>46122.81931712963</v>
      </c>
      <c r="P168" s="31">
        <v>46122.820706018516</v>
      </c>
      <c r="Q168" s="14">
        <f t="shared" si="0"/>
        <v>1.9999999960418791</v>
      </c>
      <c r="R168" s="31">
        <v>46122.820706018516</v>
      </c>
      <c r="S168" s="31">
        <v>46122.860983796294</v>
      </c>
      <c r="T168" s="14">
        <f t="shared" si="1"/>
        <v>58.000000000465661</v>
      </c>
      <c r="U168" s="14">
        <f t="shared" si="2"/>
        <v>59.99999999650754</v>
      </c>
      <c r="V168" s="28" t="s">
        <v>710</v>
      </c>
      <c r="W168" s="15" t="s">
        <v>39</v>
      </c>
      <c r="X168" s="10" t="s">
        <v>40</v>
      </c>
      <c r="Y168" s="10" t="s">
        <v>41</v>
      </c>
      <c r="Z168" s="15" t="s">
        <v>42</v>
      </c>
      <c r="AA168" s="8" t="s">
        <v>43</v>
      </c>
      <c r="AB168" s="28" t="s">
        <v>711</v>
      </c>
    </row>
    <row r="169" spans="1:28" ht="28.5" x14ac:dyDescent="0.2">
      <c r="A169" s="8">
        <v>164</v>
      </c>
      <c r="B169" s="21" t="s">
        <v>712</v>
      </c>
      <c r="C169" s="15" t="s">
        <v>28</v>
      </c>
      <c r="D169" s="26">
        <v>46123</v>
      </c>
      <c r="E169" s="8" t="s">
        <v>290</v>
      </c>
      <c r="F169" s="12" t="s">
        <v>184</v>
      </c>
      <c r="G169" s="8" t="s">
        <v>313</v>
      </c>
      <c r="H169" s="8" t="s">
        <v>550</v>
      </c>
      <c r="I169" s="8" t="s">
        <v>713</v>
      </c>
      <c r="J169" s="8"/>
      <c r="K169" s="8" t="s">
        <v>191</v>
      </c>
      <c r="L169" s="8" t="s">
        <v>714</v>
      </c>
      <c r="M169" s="8" t="s">
        <v>36</v>
      </c>
      <c r="N169" s="8" t="s">
        <v>37</v>
      </c>
      <c r="O169" s="31">
        <v>46123.365902777776</v>
      </c>
      <c r="P169" s="31">
        <v>46123.368078703701</v>
      </c>
      <c r="Q169" s="14">
        <f t="shared" si="0"/>
        <v>3.1333333323709667</v>
      </c>
      <c r="R169" s="31">
        <v>46123.423182870371</v>
      </c>
      <c r="S169" s="31">
        <v>46123.451550925929</v>
      </c>
      <c r="T169" s="14">
        <f t="shared" si="1"/>
        <v>40.850000004284084</v>
      </c>
      <c r="U169" s="14">
        <f t="shared" si="2"/>
        <v>123.3333333407063</v>
      </c>
      <c r="V169" s="29" t="s">
        <v>715</v>
      </c>
      <c r="W169" s="15" t="s">
        <v>39</v>
      </c>
      <c r="X169" s="10" t="s">
        <v>40</v>
      </c>
      <c r="Y169" s="10" t="s">
        <v>41</v>
      </c>
      <c r="Z169" s="15" t="s">
        <v>42</v>
      </c>
      <c r="AA169" s="8" t="s">
        <v>43</v>
      </c>
      <c r="AB169" s="28" t="s">
        <v>650</v>
      </c>
    </row>
    <row r="170" spans="1:28" ht="28.5" x14ac:dyDescent="0.2">
      <c r="A170" s="8">
        <v>165</v>
      </c>
      <c r="B170" s="15" t="s">
        <v>716</v>
      </c>
      <c r="C170" s="15" t="s">
        <v>28</v>
      </c>
      <c r="D170" s="26">
        <v>46124</v>
      </c>
      <c r="E170" s="8" t="s">
        <v>254</v>
      </c>
      <c r="F170" s="12" t="s">
        <v>184</v>
      </c>
      <c r="G170" s="8" t="s">
        <v>55</v>
      </c>
      <c r="H170" s="12" t="s">
        <v>717</v>
      </c>
      <c r="I170" s="8" t="s">
        <v>718</v>
      </c>
      <c r="J170" s="8" t="s">
        <v>29</v>
      </c>
      <c r="K170" s="8"/>
      <c r="L170" s="8" t="s">
        <v>719</v>
      </c>
      <c r="M170" s="8" t="s">
        <v>107</v>
      </c>
      <c r="N170" s="8" t="s">
        <v>37</v>
      </c>
      <c r="O170" s="31">
        <v>46124.136516203704</v>
      </c>
      <c r="P170" s="31">
        <v>46124.138888888891</v>
      </c>
      <c r="Q170" s="14">
        <f t="shared" si="0"/>
        <v>3.4166666690725833</v>
      </c>
      <c r="R170" s="31">
        <v>46124.136516203704</v>
      </c>
      <c r="S170" s="31">
        <v>46124.164537037039</v>
      </c>
      <c r="T170" s="14">
        <f t="shared" si="1"/>
        <v>40.350000002654269</v>
      </c>
      <c r="U170" s="14">
        <f t="shared" si="2"/>
        <v>40.350000002654269</v>
      </c>
      <c r="V170" s="12" t="s">
        <v>720</v>
      </c>
      <c r="W170" s="15" t="s">
        <v>39</v>
      </c>
      <c r="X170" s="10" t="s">
        <v>66</v>
      </c>
      <c r="Y170" s="10" t="s">
        <v>67</v>
      </c>
      <c r="Z170" s="8" t="s">
        <v>67</v>
      </c>
      <c r="AA170" s="8" t="s">
        <v>43</v>
      </c>
      <c r="AB170" s="28" t="s">
        <v>721</v>
      </c>
    </row>
    <row r="171" spans="1:28" ht="28.5" x14ac:dyDescent="0.2">
      <c r="A171" s="8">
        <v>166</v>
      </c>
      <c r="B171" s="15" t="s">
        <v>722</v>
      </c>
      <c r="C171" s="15" t="s">
        <v>28</v>
      </c>
      <c r="D171" s="26">
        <v>46124</v>
      </c>
      <c r="E171" s="8" t="s">
        <v>290</v>
      </c>
      <c r="F171" s="12" t="s">
        <v>184</v>
      </c>
      <c r="G171" s="8" t="s">
        <v>55</v>
      </c>
      <c r="H171" s="8" t="s">
        <v>723</v>
      </c>
      <c r="I171" s="8" t="s">
        <v>724</v>
      </c>
      <c r="J171" s="8"/>
      <c r="K171" s="8"/>
      <c r="L171" s="8" t="s">
        <v>725</v>
      </c>
      <c r="M171" s="8" t="s">
        <v>107</v>
      </c>
      <c r="N171" s="8" t="s">
        <v>37</v>
      </c>
      <c r="O171" s="31">
        <v>46124.308113425926</v>
      </c>
      <c r="P171" s="31">
        <v>46124.311122685183</v>
      </c>
      <c r="Q171" s="14">
        <f t="shared" si="0"/>
        <v>4.3333333299960941</v>
      </c>
      <c r="R171" s="31">
        <v>46124.338564814818</v>
      </c>
      <c r="S171" s="31">
        <v>46124.358946759261</v>
      </c>
      <c r="T171" s="14">
        <f t="shared" si="1"/>
        <v>29.349999998230487</v>
      </c>
      <c r="U171" s="14">
        <f t="shared" si="2"/>
        <v>73.200000001816079</v>
      </c>
      <c r="V171" s="28" t="s">
        <v>726</v>
      </c>
      <c r="W171" s="15" t="s">
        <v>39</v>
      </c>
      <c r="X171" s="10" t="s">
        <v>66</v>
      </c>
      <c r="Y171" s="10" t="s">
        <v>67</v>
      </c>
      <c r="Z171" s="8" t="s">
        <v>67</v>
      </c>
      <c r="AA171" s="8" t="s">
        <v>43</v>
      </c>
      <c r="AB171" s="28" t="s">
        <v>650</v>
      </c>
    </row>
    <row r="172" spans="1:28" ht="28.5" x14ac:dyDescent="0.2">
      <c r="A172" s="8">
        <v>167</v>
      </c>
      <c r="B172" s="15" t="s">
        <v>727</v>
      </c>
      <c r="C172" s="15" t="s">
        <v>28</v>
      </c>
      <c r="D172" s="26">
        <v>46124</v>
      </c>
      <c r="E172" s="8" t="s">
        <v>290</v>
      </c>
      <c r="F172" s="12" t="s">
        <v>184</v>
      </c>
      <c r="G172" s="8" t="s">
        <v>55</v>
      </c>
      <c r="H172" s="8" t="s">
        <v>728</v>
      </c>
      <c r="I172" s="8" t="s">
        <v>729</v>
      </c>
      <c r="J172" s="8"/>
      <c r="K172" s="8"/>
      <c r="L172" s="8" t="s">
        <v>719</v>
      </c>
      <c r="M172" s="8" t="s">
        <v>107</v>
      </c>
      <c r="N172" s="8" t="s">
        <v>37</v>
      </c>
      <c r="O172" s="31">
        <v>46124.409166666665</v>
      </c>
      <c r="P172" s="31">
        <v>46124.412326388891</v>
      </c>
      <c r="Q172" s="14">
        <f t="shared" si="0"/>
        <v>4.5500000054016709</v>
      </c>
      <c r="R172" s="31">
        <v>46124.412326388891</v>
      </c>
      <c r="S172" s="31">
        <v>46124.421435185184</v>
      </c>
      <c r="T172" s="14">
        <f t="shared" si="1"/>
        <v>13.11666666297242</v>
      </c>
      <c r="U172" s="14">
        <f t="shared" si="2"/>
        <v>17.666666668374091</v>
      </c>
      <c r="V172" s="28" t="s">
        <v>730</v>
      </c>
      <c r="W172" s="15" t="s">
        <v>39</v>
      </c>
      <c r="X172" s="10" t="s">
        <v>40</v>
      </c>
      <c r="Y172" s="10" t="s">
        <v>41</v>
      </c>
      <c r="Z172" s="15" t="s">
        <v>731</v>
      </c>
      <c r="AA172" s="8" t="s">
        <v>43</v>
      </c>
      <c r="AB172" s="28" t="s">
        <v>367</v>
      </c>
    </row>
    <row r="173" spans="1:28" ht="28.5" x14ac:dyDescent="0.2">
      <c r="A173" s="8">
        <v>168</v>
      </c>
      <c r="B173" s="15" t="s">
        <v>732</v>
      </c>
      <c r="C173" s="15" t="s">
        <v>28</v>
      </c>
      <c r="D173" s="26">
        <v>46124</v>
      </c>
      <c r="E173" s="8" t="s">
        <v>290</v>
      </c>
      <c r="F173" s="12" t="s">
        <v>184</v>
      </c>
      <c r="G173" s="8" t="s">
        <v>55</v>
      </c>
      <c r="H173" s="12" t="s">
        <v>717</v>
      </c>
      <c r="I173" s="8" t="s">
        <v>733</v>
      </c>
      <c r="J173" s="8"/>
      <c r="K173" s="8"/>
      <c r="L173" s="8" t="s">
        <v>734</v>
      </c>
      <c r="M173" s="8" t="s">
        <v>107</v>
      </c>
      <c r="N173" s="8" t="s">
        <v>37</v>
      </c>
      <c r="O173" s="31">
        <v>46124.495196759257</v>
      </c>
      <c r="P173" s="31">
        <v>46124.497337962966</v>
      </c>
      <c r="Q173" s="14">
        <f t="shared" si="0"/>
        <v>3.0833333416376263</v>
      </c>
      <c r="R173" s="31">
        <v>46124.497337962966</v>
      </c>
      <c r="S173" s="31">
        <v>46124.498749999999</v>
      </c>
      <c r="T173" s="14">
        <f t="shared" si="1"/>
        <v>2.033333326689899</v>
      </c>
      <c r="U173" s="14">
        <f t="shared" si="2"/>
        <v>5.1166666683275253</v>
      </c>
      <c r="V173" s="12" t="s">
        <v>720</v>
      </c>
      <c r="W173" s="15" t="s">
        <v>39</v>
      </c>
      <c r="X173" s="10" t="s">
        <v>66</v>
      </c>
      <c r="Y173" s="10" t="s">
        <v>67</v>
      </c>
      <c r="Z173" s="8" t="s">
        <v>67</v>
      </c>
      <c r="AA173" s="8" t="s">
        <v>43</v>
      </c>
      <c r="AB173" s="28" t="s">
        <v>29</v>
      </c>
    </row>
    <row r="174" spans="1:28" ht="14.25" x14ac:dyDescent="0.2">
      <c r="A174" s="8">
        <v>169</v>
      </c>
      <c r="B174" s="15" t="s">
        <v>735</v>
      </c>
      <c r="C174" s="15" t="s">
        <v>28</v>
      </c>
      <c r="D174" s="26">
        <v>46124</v>
      </c>
      <c r="E174" s="8" t="s">
        <v>290</v>
      </c>
      <c r="F174" s="12" t="s">
        <v>736</v>
      </c>
      <c r="G174" s="8" t="s">
        <v>737</v>
      </c>
      <c r="H174" s="8" t="s">
        <v>738</v>
      </c>
      <c r="I174" s="8" t="s">
        <v>739</v>
      </c>
      <c r="J174" s="8"/>
      <c r="K174" s="8"/>
      <c r="L174" s="8" t="s">
        <v>740</v>
      </c>
      <c r="M174" s="8" t="s">
        <v>107</v>
      </c>
      <c r="N174" s="8" t="s">
        <v>37</v>
      </c>
      <c r="O174" s="31">
        <v>46124.495023148149</v>
      </c>
      <c r="P174" s="31">
        <v>46124.498761574076</v>
      </c>
      <c r="Q174" s="14">
        <f t="shared" si="0"/>
        <v>5.3833333344664425</v>
      </c>
      <c r="R174" s="31">
        <v>46124.498761574076</v>
      </c>
      <c r="S174" s="31">
        <v>46124.510740740741</v>
      </c>
      <c r="T174" s="14">
        <f t="shared" si="1"/>
        <v>17.249999998603016</v>
      </c>
      <c r="U174" s="14">
        <f t="shared" si="2"/>
        <v>22.633333333069459</v>
      </c>
      <c r="V174" s="28" t="s">
        <v>741</v>
      </c>
      <c r="W174" s="15" t="s">
        <v>39</v>
      </c>
      <c r="X174" s="10" t="s">
        <v>66</v>
      </c>
      <c r="Y174" s="10" t="s">
        <v>67</v>
      </c>
      <c r="Z174" s="8" t="s">
        <v>67</v>
      </c>
      <c r="AA174" s="8" t="s">
        <v>43</v>
      </c>
      <c r="AB174" s="28" t="s">
        <v>29</v>
      </c>
    </row>
    <row r="175" spans="1:28" ht="28.5" x14ac:dyDescent="0.2">
      <c r="A175" s="8">
        <v>170</v>
      </c>
      <c r="B175" s="15" t="s">
        <v>742</v>
      </c>
      <c r="C175" s="15" t="s">
        <v>28</v>
      </c>
      <c r="D175" s="26">
        <v>46124</v>
      </c>
      <c r="E175" s="8" t="s">
        <v>290</v>
      </c>
      <c r="F175" s="12" t="s">
        <v>184</v>
      </c>
      <c r="G175" s="8" t="s">
        <v>55</v>
      </c>
      <c r="H175" s="12" t="s">
        <v>717</v>
      </c>
      <c r="I175" s="8" t="s">
        <v>743</v>
      </c>
      <c r="J175" s="8"/>
      <c r="K175" s="8"/>
      <c r="L175" s="8" t="s">
        <v>744</v>
      </c>
      <c r="M175" s="8" t="s">
        <v>107</v>
      </c>
      <c r="N175" s="8" t="s">
        <v>37</v>
      </c>
      <c r="O175" s="31">
        <v>46124.519791666666</v>
      </c>
      <c r="P175" s="31">
        <v>46124.521099537036</v>
      </c>
      <c r="Q175" s="14">
        <f t="shared" si="0"/>
        <v>1.8833333335351199</v>
      </c>
      <c r="R175" s="31">
        <v>46124.521099537036</v>
      </c>
      <c r="S175" s="31">
        <v>46124.524456018517</v>
      </c>
      <c r="T175" s="14">
        <f t="shared" si="1"/>
        <v>4.8333333316259086</v>
      </c>
      <c r="U175" s="14">
        <f t="shared" si="2"/>
        <v>6.7166666651610285</v>
      </c>
      <c r="V175" s="28" t="s">
        <v>745</v>
      </c>
      <c r="W175" s="15" t="s">
        <v>39</v>
      </c>
      <c r="X175" s="10" t="s">
        <v>66</v>
      </c>
      <c r="Y175" s="10" t="s">
        <v>67</v>
      </c>
      <c r="Z175" s="10" t="s">
        <v>67</v>
      </c>
      <c r="AA175" s="8" t="s">
        <v>43</v>
      </c>
      <c r="AB175" s="28" t="s">
        <v>29</v>
      </c>
    </row>
    <row r="176" spans="1:28" ht="28.5" x14ac:dyDescent="0.2">
      <c r="A176" s="8">
        <v>171</v>
      </c>
      <c r="B176" s="15" t="s">
        <v>746</v>
      </c>
      <c r="C176" s="15" t="s">
        <v>28</v>
      </c>
      <c r="D176" s="26">
        <v>46125</v>
      </c>
      <c r="E176" s="8" t="s">
        <v>333</v>
      </c>
      <c r="F176" s="12" t="s">
        <v>184</v>
      </c>
      <c r="G176" s="8" t="s">
        <v>55</v>
      </c>
      <c r="H176" s="8" t="s">
        <v>723</v>
      </c>
      <c r="I176" s="8" t="s">
        <v>747</v>
      </c>
      <c r="J176" s="8" t="s">
        <v>29</v>
      </c>
      <c r="K176" s="8" t="s">
        <v>84</v>
      </c>
      <c r="L176" s="8" t="s">
        <v>748</v>
      </c>
      <c r="M176" s="8" t="s">
        <v>107</v>
      </c>
      <c r="N176" s="8" t="s">
        <v>411</v>
      </c>
      <c r="O176" s="31">
        <v>46125.412951388891</v>
      </c>
      <c r="P176" s="31">
        <v>46125.41920138889</v>
      </c>
      <c r="Q176" s="14">
        <f t="shared" si="0"/>
        <v>8.9999999979045242</v>
      </c>
      <c r="R176" s="31">
        <v>46125.468055555553</v>
      </c>
      <c r="S176" s="31">
        <v>46125.484479166669</v>
      </c>
      <c r="T176" s="14">
        <f t="shared" si="1"/>
        <v>23.650000006891787</v>
      </c>
      <c r="U176" s="14">
        <f t="shared" si="2"/>
        <v>103.00000000046566</v>
      </c>
      <c r="V176" s="28" t="s">
        <v>749</v>
      </c>
      <c r="W176" s="15" t="s">
        <v>39</v>
      </c>
      <c r="X176" s="10" t="s">
        <v>66</v>
      </c>
      <c r="Y176" s="10" t="s">
        <v>67</v>
      </c>
      <c r="Z176" s="8" t="s">
        <v>67</v>
      </c>
      <c r="AA176" s="8" t="s">
        <v>43</v>
      </c>
      <c r="AB176" s="28" t="s">
        <v>750</v>
      </c>
    </row>
    <row r="177" spans="1:28" ht="28.5" x14ac:dyDescent="0.2">
      <c r="A177" s="8">
        <v>172</v>
      </c>
      <c r="B177" s="15" t="s">
        <v>751</v>
      </c>
      <c r="C177" s="15" t="s">
        <v>28</v>
      </c>
      <c r="D177" s="26">
        <v>46125</v>
      </c>
      <c r="E177" s="8" t="s">
        <v>333</v>
      </c>
      <c r="F177" s="12" t="s">
        <v>184</v>
      </c>
      <c r="G177" s="8" t="s">
        <v>55</v>
      </c>
      <c r="H177" s="12" t="s">
        <v>717</v>
      </c>
      <c r="I177" s="8" t="s">
        <v>363</v>
      </c>
      <c r="J177" s="8" t="s">
        <v>29</v>
      </c>
      <c r="K177" s="8" t="s">
        <v>364</v>
      </c>
      <c r="L177" s="8" t="s">
        <v>365</v>
      </c>
      <c r="M177" s="8" t="s">
        <v>107</v>
      </c>
      <c r="N177" s="8" t="s">
        <v>37</v>
      </c>
      <c r="O177" s="31">
        <v>46125.351273148146</v>
      </c>
      <c r="P177" s="31">
        <v>46125.354166666664</v>
      </c>
      <c r="Q177" s="14">
        <f t="shared" si="0"/>
        <v>4.1666666662786156</v>
      </c>
      <c r="R177" s="31">
        <v>46125.354166666664</v>
      </c>
      <c r="S177" s="31">
        <v>46125.355763888889</v>
      </c>
      <c r="T177" s="14">
        <f t="shared" si="1"/>
        <v>2.3000000033061951</v>
      </c>
      <c r="U177" s="14">
        <f t="shared" si="2"/>
        <v>6.4666666695848107</v>
      </c>
      <c r="V177" s="28" t="s">
        <v>617</v>
      </c>
      <c r="W177" s="15" t="s">
        <v>39</v>
      </c>
      <c r="X177" s="10" t="s">
        <v>40</v>
      </c>
      <c r="Y177" s="10" t="s">
        <v>41</v>
      </c>
      <c r="Z177" s="15" t="s">
        <v>42</v>
      </c>
      <c r="AA177" s="8" t="s">
        <v>43</v>
      </c>
      <c r="AB177" s="8" t="s">
        <v>29</v>
      </c>
    </row>
    <row r="178" spans="1:28" ht="28.5" x14ac:dyDescent="0.2">
      <c r="A178" s="8">
        <v>173</v>
      </c>
      <c r="B178" s="15" t="s">
        <v>752</v>
      </c>
      <c r="C178" s="15" t="s">
        <v>28</v>
      </c>
      <c r="D178" s="26">
        <v>46125</v>
      </c>
      <c r="E178" s="8" t="s">
        <v>333</v>
      </c>
      <c r="F178" s="12" t="s">
        <v>184</v>
      </c>
      <c r="G178" s="8" t="s">
        <v>55</v>
      </c>
      <c r="H178" s="8" t="s">
        <v>753</v>
      </c>
      <c r="I178" s="8" t="s">
        <v>754</v>
      </c>
      <c r="J178" s="8"/>
      <c r="K178" s="8" t="s">
        <v>571</v>
      </c>
      <c r="L178" s="8" t="s">
        <v>755</v>
      </c>
      <c r="M178" s="8" t="s">
        <v>697</v>
      </c>
      <c r="N178" s="8" t="s">
        <v>37</v>
      </c>
      <c r="O178" s="31">
        <v>46125.477592592593</v>
      </c>
      <c r="P178" s="31">
        <v>46125.479108796295</v>
      </c>
      <c r="Q178" s="14">
        <f t="shared" si="0"/>
        <v>2.183333330322057</v>
      </c>
      <c r="R178" s="31">
        <v>46125.534722222219</v>
      </c>
      <c r="S178" s="31">
        <v>46125.583113425928</v>
      </c>
      <c r="T178" s="14">
        <f t="shared" si="1"/>
        <v>69.683333340799436</v>
      </c>
      <c r="U178" s="14">
        <f t="shared" si="2"/>
        <v>151.95000000181608</v>
      </c>
      <c r="V178" s="28" t="s">
        <v>756</v>
      </c>
      <c r="W178" s="15" t="s">
        <v>39</v>
      </c>
      <c r="X178" s="10" t="s">
        <v>757</v>
      </c>
      <c r="Y178" s="10" t="s">
        <v>67</v>
      </c>
      <c r="Z178" s="8" t="s">
        <v>67</v>
      </c>
      <c r="AA178" s="8" t="s">
        <v>43</v>
      </c>
      <c r="AB178" s="28" t="s">
        <v>546</v>
      </c>
    </row>
    <row r="179" spans="1:28" ht="14.25" x14ac:dyDescent="0.2">
      <c r="A179" s="8">
        <v>174</v>
      </c>
      <c r="B179" s="15" t="s">
        <v>758</v>
      </c>
      <c r="C179" s="15" t="s">
        <v>28</v>
      </c>
      <c r="D179" s="26">
        <v>46125</v>
      </c>
      <c r="E179" s="8" t="s">
        <v>333</v>
      </c>
      <c r="F179" s="12" t="s">
        <v>759</v>
      </c>
      <c r="G179" s="12" t="s">
        <v>760</v>
      </c>
      <c r="H179" s="8" t="s">
        <v>272</v>
      </c>
      <c r="I179" s="8" t="s">
        <v>203</v>
      </c>
      <c r="J179" s="8" t="s">
        <v>29</v>
      </c>
      <c r="K179" s="8"/>
      <c r="L179" s="8" t="s">
        <v>761</v>
      </c>
      <c r="M179" s="8" t="s">
        <v>697</v>
      </c>
      <c r="N179" s="8" t="s">
        <v>346</v>
      </c>
      <c r="O179" s="31">
        <v>46125.524305555555</v>
      </c>
      <c r="P179" s="31">
        <v>46125.530555555553</v>
      </c>
      <c r="Q179" s="14">
        <f t="shared" si="0"/>
        <v>8.9999999979045242</v>
      </c>
      <c r="R179" s="31">
        <v>46125.530555555553</v>
      </c>
      <c r="S179" s="31">
        <v>46125.569224537037</v>
      </c>
      <c r="T179" s="14">
        <f t="shared" si="1"/>
        <v>55.683333337074146</v>
      </c>
      <c r="U179" s="14">
        <f t="shared" si="2"/>
        <v>64.68333333497867</v>
      </c>
      <c r="V179" s="8" t="s">
        <v>279</v>
      </c>
      <c r="W179" s="15" t="s">
        <v>39</v>
      </c>
      <c r="X179" s="10" t="s">
        <v>66</v>
      </c>
      <c r="Y179" s="10" t="s">
        <v>67</v>
      </c>
      <c r="Z179" s="8" t="s">
        <v>67</v>
      </c>
      <c r="AA179" s="8" t="s">
        <v>43</v>
      </c>
      <c r="AB179" s="28" t="s">
        <v>29</v>
      </c>
    </row>
    <row r="180" spans="1:28" ht="28.5" x14ac:dyDescent="0.2">
      <c r="A180" s="8">
        <v>175</v>
      </c>
      <c r="B180" s="15" t="s">
        <v>762</v>
      </c>
      <c r="C180" s="15" t="s">
        <v>28</v>
      </c>
      <c r="D180" s="26">
        <v>46126</v>
      </c>
      <c r="E180" s="8" t="s">
        <v>333</v>
      </c>
      <c r="F180" s="12" t="s">
        <v>184</v>
      </c>
      <c r="G180" s="8" t="s">
        <v>55</v>
      </c>
      <c r="H180" s="12" t="s">
        <v>717</v>
      </c>
      <c r="I180" s="8" t="s">
        <v>363</v>
      </c>
      <c r="J180" s="8" t="s">
        <v>29</v>
      </c>
      <c r="K180" s="8" t="s">
        <v>364</v>
      </c>
      <c r="L180" s="8" t="s">
        <v>365</v>
      </c>
      <c r="M180" s="8" t="s">
        <v>107</v>
      </c>
      <c r="N180" s="8" t="s">
        <v>37</v>
      </c>
      <c r="O180" s="31">
        <v>46126.402662037035</v>
      </c>
      <c r="P180" s="31">
        <v>46126.404745370368</v>
      </c>
      <c r="Q180" s="14">
        <f t="shared" si="0"/>
        <v>2.9999999993015081</v>
      </c>
      <c r="R180" s="31">
        <v>46126.404745370368</v>
      </c>
      <c r="S180" s="31">
        <v>46126.414236111108</v>
      </c>
      <c r="T180" s="14">
        <f t="shared" si="1"/>
        <v>13.666666665812954</v>
      </c>
      <c r="U180" s="14">
        <f t="shared" si="2"/>
        <v>16.666666665114462</v>
      </c>
      <c r="V180" s="28" t="s">
        <v>617</v>
      </c>
      <c r="W180" s="15" t="s">
        <v>39</v>
      </c>
      <c r="X180" s="10" t="s">
        <v>40</v>
      </c>
      <c r="Y180" s="10" t="s">
        <v>41</v>
      </c>
      <c r="Z180" s="15" t="s">
        <v>42</v>
      </c>
      <c r="AA180" s="8" t="s">
        <v>43</v>
      </c>
      <c r="AB180" s="8" t="s">
        <v>29</v>
      </c>
    </row>
    <row r="181" spans="1:28" ht="63.75" x14ac:dyDescent="0.2">
      <c r="A181" s="8">
        <v>176</v>
      </c>
      <c r="B181" s="15" t="s">
        <v>763</v>
      </c>
      <c r="C181" s="15" t="s">
        <v>28</v>
      </c>
      <c r="D181" s="26">
        <v>46126</v>
      </c>
      <c r="E181" s="8" t="s">
        <v>333</v>
      </c>
      <c r="F181" s="12" t="s">
        <v>184</v>
      </c>
      <c r="G181" s="8" t="s">
        <v>55</v>
      </c>
      <c r="H181" s="8" t="s">
        <v>764</v>
      </c>
      <c r="I181" s="8" t="s">
        <v>754</v>
      </c>
      <c r="J181" s="8" t="s">
        <v>29</v>
      </c>
      <c r="K181" s="8" t="s">
        <v>571</v>
      </c>
      <c r="L181" s="8" t="s">
        <v>755</v>
      </c>
      <c r="M181" s="8" t="s">
        <v>697</v>
      </c>
      <c r="N181" s="8" t="s">
        <v>37</v>
      </c>
      <c r="O181" s="31">
        <v>46126.43141203704</v>
      </c>
      <c r="P181" s="31">
        <v>46126.432349537034</v>
      </c>
      <c r="Q181" s="14">
        <f t="shared" si="0"/>
        <v>1.3499999907799065</v>
      </c>
      <c r="R181" s="31">
        <v>46126.434432870374</v>
      </c>
      <c r="S181" s="31">
        <v>46126.446527777778</v>
      </c>
      <c r="T181" s="14">
        <f t="shared" si="1"/>
        <v>17.416666662320495</v>
      </c>
      <c r="U181" s="14">
        <f t="shared" si="2"/>
        <v>21.766666662879288</v>
      </c>
      <c r="V181" s="29" t="s">
        <v>765</v>
      </c>
      <c r="W181" s="15" t="s">
        <v>39</v>
      </c>
      <c r="X181" s="15" t="s">
        <v>40</v>
      </c>
      <c r="Y181" s="15" t="s">
        <v>41</v>
      </c>
      <c r="Z181" s="8" t="s">
        <v>241</v>
      </c>
      <c r="AA181" s="8" t="s">
        <v>43</v>
      </c>
      <c r="AB181" s="28" t="s">
        <v>672</v>
      </c>
    </row>
    <row r="182" spans="1:28" ht="28.5" x14ac:dyDescent="0.2">
      <c r="A182" s="8">
        <v>177</v>
      </c>
      <c r="B182" s="15" t="s">
        <v>766</v>
      </c>
      <c r="C182" s="15" t="s">
        <v>28</v>
      </c>
      <c r="D182" s="26">
        <v>46126</v>
      </c>
      <c r="E182" s="8" t="s">
        <v>333</v>
      </c>
      <c r="F182" s="12" t="s">
        <v>184</v>
      </c>
      <c r="G182" s="8" t="s">
        <v>55</v>
      </c>
      <c r="H182" s="8" t="s">
        <v>767</v>
      </c>
      <c r="I182" s="8" t="s">
        <v>648</v>
      </c>
      <c r="J182" s="8" t="s">
        <v>29</v>
      </c>
      <c r="K182" s="8" t="s">
        <v>34</v>
      </c>
      <c r="L182" s="8" t="s">
        <v>649</v>
      </c>
      <c r="M182" s="8" t="s">
        <v>107</v>
      </c>
      <c r="N182" s="8" t="s">
        <v>37</v>
      </c>
      <c r="O182" s="31">
        <v>46126.40415509259</v>
      </c>
      <c r="P182" s="31">
        <v>46126.406365740739</v>
      </c>
      <c r="Q182" s="14">
        <f t="shared" si="0"/>
        <v>3.183333333581686</v>
      </c>
      <c r="R182" s="31">
        <v>46126.43414351852</v>
      </c>
      <c r="S182" s="31">
        <v>46126.471064814818</v>
      </c>
      <c r="T182" s="14">
        <f t="shared" si="1"/>
        <v>53.166666668839753</v>
      </c>
      <c r="U182" s="14">
        <f t="shared" si="2"/>
        <v>96.350000007078052</v>
      </c>
      <c r="V182" s="28" t="s">
        <v>768</v>
      </c>
      <c r="W182" s="15" t="s">
        <v>39</v>
      </c>
      <c r="X182" s="10" t="s">
        <v>40</v>
      </c>
      <c r="Y182" s="10" t="s">
        <v>41</v>
      </c>
      <c r="Z182" s="15" t="s">
        <v>769</v>
      </c>
      <c r="AA182" s="8" t="s">
        <v>43</v>
      </c>
      <c r="AB182" s="28" t="s">
        <v>770</v>
      </c>
    </row>
    <row r="183" spans="1:28" ht="28.5" x14ac:dyDescent="0.2">
      <c r="A183" s="8">
        <v>178</v>
      </c>
      <c r="B183" s="15" t="s">
        <v>771</v>
      </c>
      <c r="C183" s="15" t="s">
        <v>28</v>
      </c>
      <c r="D183" s="26">
        <v>46126</v>
      </c>
      <c r="E183" s="8" t="s">
        <v>333</v>
      </c>
      <c r="F183" s="12" t="s">
        <v>184</v>
      </c>
      <c r="G183" s="8" t="s">
        <v>55</v>
      </c>
      <c r="H183" s="8" t="s">
        <v>767</v>
      </c>
      <c r="I183" s="8" t="s">
        <v>648</v>
      </c>
      <c r="J183" s="8" t="s">
        <v>29</v>
      </c>
      <c r="K183" s="8" t="s">
        <v>34</v>
      </c>
      <c r="L183" s="8" t="s">
        <v>649</v>
      </c>
      <c r="M183" s="8" t="s">
        <v>107</v>
      </c>
      <c r="N183" s="8" t="s">
        <v>37</v>
      </c>
      <c r="O183" s="31">
        <v>46126.473611111112</v>
      </c>
      <c r="P183" s="31">
        <v>46126.474999999999</v>
      </c>
      <c r="Q183" s="14">
        <f t="shared" si="0"/>
        <v>1.9999999960418791</v>
      </c>
      <c r="R183" s="31">
        <v>46126.477083333331</v>
      </c>
      <c r="S183" s="31">
        <v>46126.48228009259</v>
      </c>
      <c r="T183" s="14">
        <f t="shared" si="1"/>
        <v>7.4833333329297602</v>
      </c>
      <c r="U183" s="14">
        <f t="shared" si="2"/>
        <v>12.483333328273147</v>
      </c>
      <c r="V183" s="28" t="s">
        <v>772</v>
      </c>
      <c r="W183" s="15" t="s">
        <v>39</v>
      </c>
      <c r="X183" s="10" t="s">
        <v>40</v>
      </c>
      <c r="Y183" s="10" t="s">
        <v>41</v>
      </c>
      <c r="Z183" s="15" t="s">
        <v>769</v>
      </c>
      <c r="AA183" s="8" t="s">
        <v>43</v>
      </c>
      <c r="AB183" s="28" t="s">
        <v>770</v>
      </c>
    </row>
    <row r="184" spans="1:28" ht="28.5" x14ac:dyDescent="0.2">
      <c r="A184" s="8">
        <v>180</v>
      </c>
      <c r="B184" s="15" t="s">
        <v>773</v>
      </c>
      <c r="C184" s="15" t="s">
        <v>28</v>
      </c>
      <c r="D184" s="26">
        <v>46128</v>
      </c>
      <c r="E184" s="8" t="s">
        <v>333</v>
      </c>
      <c r="F184" s="12" t="s">
        <v>184</v>
      </c>
      <c r="G184" s="8" t="s">
        <v>55</v>
      </c>
      <c r="H184" s="12" t="s">
        <v>774</v>
      </c>
      <c r="I184" s="8" t="s">
        <v>775</v>
      </c>
      <c r="J184" s="8" t="s">
        <v>29</v>
      </c>
      <c r="K184" s="8"/>
      <c r="L184" s="8" t="s">
        <v>776</v>
      </c>
      <c r="M184" s="8" t="s">
        <v>107</v>
      </c>
      <c r="N184" s="8" t="s">
        <v>37</v>
      </c>
      <c r="O184" s="31">
        <v>46128.313726851855</v>
      </c>
      <c r="P184" s="31">
        <v>46128.316504629627</v>
      </c>
      <c r="Q184" s="14">
        <f t="shared" si="0"/>
        <v>3.9999999920837581</v>
      </c>
      <c r="R184" s="31">
        <v>46128.316504629627</v>
      </c>
      <c r="S184" s="31">
        <v>46128.317048611112</v>
      </c>
      <c r="T184" s="14">
        <f t="shared" si="1"/>
        <v>0.78333333833143115</v>
      </c>
      <c r="U184" s="14">
        <f t="shared" si="2"/>
        <v>4.7833333304151893</v>
      </c>
      <c r="V184" s="28" t="s">
        <v>777</v>
      </c>
      <c r="W184" s="15" t="s">
        <v>39</v>
      </c>
      <c r="X184" s="10" t="s">
        <v>66</v>
      </c>
      <c r="Y184" s="10" t="s">
        <v>67</v>
      </c>
      <c r="Z184" s="8" t="s">
        <v>67</v>
      </c>
      <c r="AA184" s="8" t="s">
        <v>318</v>
      </c>
      <c r="AB184" s="8" t="s">
        <v>29</v>
      </c>
    </row>
    <row r="185" spans="1:28" ht="28.5" x14ac:dyDescent="0.2">
      <c r="A185" s="8">
        <v>181</v>
      </c>
      <c r="B185" s="15" t="s">
        <v>778</v>
      </c>
      <c r="C185" s="15" t="s">
        <v>28</v>
      </c>
      <c r="D185" s="26">
        <v>46128</v>
      </c>
      <c r="E185" s="8" t="s">
        <v>333</v>
      </c>
      <c r="F185" s="12" t="s">
        <v>184</v>
      </c>
      <c r="G185" s="8" t="s">
        <v>55</v>
      </c>
      <c r="H185" s="12" t="s">
        <v>774</v>
      </c>
      <c r="I185" s="8" t="s">
        <v>779</v>
      </c>
      <c r="J185" s="8" t="s">
        <v>29</v>
      </c>
      <c r="K185" s="8"/>
      <c r="L185" s="8" t="s">
        <v>780</v>
      </c>
      <c r="M185" s="8" t="s">
        <v>107</v>
      </c>
      <c r="N185" s="8" t="s">
        <v>37</v>
      </c>
      <c r="O185" s="31">
        <v>46128.359085648146</v>
      </c>
      <c r="P185" s="31">
        <v>46128.361168981479</v>
      </c>
      <c r="Q185" s="14">
        <f t="shared" si="0"/>
        <v>2.9999999993015081</v>
      </c>
      <c r="R185" s="31">
        <v>46128.361168981479</v>
      </c>
      <c r="S185" s="31">
        <v>46128.363668981481</v>
      </c>
      <c r="T185" s="14">
        <f t="shared" si="1"/>
        <v>3.6000000033527613</v>
      </c>
      <c r="U185" s="14">
        <f t="shared" si="2"/>
        <v>6.6000000026542693</v>
      </c>
      <c r="V185" s="28" t="s">
        <v>777</v>
      </c>
      <c r="W185" s="15" t="s">
        <v>39</v>
      </c>
      <c r="X185" s="10" t="s">
        <v>66</v>
      </c>
      <c r="Y185" s="10" t="s">
        <v>67</v>
      </c>
      <c r="Z185" s="8" t="s">
        <v>67</v>
      </c>
      <c r="AA185" s="8" t="s">
        <v>318</v>
      </c>
      <c r="AB185" s="8" t="s">
        <v>29</v>
      </c>
    </row>
    <row r="186" spans="1:28" ht="28.5" x14ac:dyDescent="0.2">
      <c r="A186" s="8">
        <v>182</v>
      </c>
      <c r="B186" s="15" t="s">
        <v>781</v>
      </c>
      <c r="C186" s="15" t="s">
        <v>28</v>
      </c>
      <c r="D186" s="26">
        <v>46128</v>
      </c>
      <c r="E186" s="8" t="s">
        <v>333</v>
      </c>
      <c r="F186" s="12" t="s">
        <v>184</v>
      </c>
      <c r="G186" s="8" t="s">
        <v>55</v>
      </c>
      <c r="H186" s="12" t="s">
        <v>774</v>
      </c>
      <c r="I186" s="8" t="s">
        <v>782</v>
      </c>
      <c r="J186" s="8" t="s">
        <v>29</v>
      </c>
      <c r="K186" s="8"/>
      <c r="L186" s="8" t="s">
        <v>783</v>
      </c>
      <c r="M186" s="8" t="s">
        <v>107</v>
      </c>
      <c r="N186" s="8" t="s">
        <v>37</v>
      </c>
      <c r="O186" s="31">
        <v>46128.594976851855</v>
      </c>
      <c r="P186" s="31">
        <v>46128.598969907405</v>
      </c>
      <c r="Q186" s="14">
        <f t="shared" si="0"/>
        <v>5.7499999925494194</v>
      </c>
      <c r="R186" s="31">
        <v>46128.598969907405</v>
      </c>
      <c r="S186" s="31">
        <v>46128.601053240738</v>
      </c>
      <c r="T186" s="14">
        <f t="shared" si="1"/>
        <v>2.9999999993015081</v>
      </c>
      <c r="U186" s="14">
        <f t="shared" si="2"/>
        <v>8.7499999918509275</v>
      </c>
      <c r="V186" s="28" t="s">
        <v>777</v>
      </c>
      <c r="W186" s="15" t="s">
        <v>39</v>
      </c>
      <c r="X186" s="10" t="s">
        <v>66</v>
      </c>
      <c r="Y186" s="10" t="s">
        <v>67</v>
      </c>
      <c r="Z186" s="8" t="s">
        <v>67</v>
      </c>
      <c r="AA186" s="8" t="s">
        <v>318</v>
      </c>
      <c r="AB186" s="8" t="s">
        <v>29</v>
      </c>
    </row>
    <row r="187" spans="1:28" ht="28.5" x14ac:dyDescent="0.2">
      <c r="A187" s="8">
        <v>183</v>
      </c>
      <c r="B187" s="15" t="s">
        <v>784</v>
      </c>
      <c r="C187" s="15" t="s">
        <v>28</v>
      </c>
      <c r="D187" s="26">
        <v>46128</v>
      </c>
      <c r="E187" s="8" t="s">
        <v>254</v>
      </c>
      <c r="F187" s="12" t="s">
        <v>184</v>
      </c>
      <c r="G187" s="8" t="s">
        <v>55</v>
      </c>
      <c r="H187" s="12" t="s">
        <v>785</v>
      </c>
      <c r="I187" s="8" t="s">
        <v>782</v>
      </c>
      <c r="J187" s="8"/>
      <c r="K187" s="8"/>
      <c r="L187" s="8" t="s">
        <v>783</v>
      </c>
      <c r="M187" s="8" t="s">
        <v>107</v>
      </c>
      <c r="N187" s="8" t="s">
        <v>37</v>
      </c>
      <c r="O187" s="31">
        <v>46128.62427083333</v>
      </c>
      <c r="P187" s="30">
        <v>46128.625694444447</v>
      </c>
      <c r="Q187" s="14">
        <f t="shared" si="0"/>
        <v>2.0500000077299774</v>
      </c>
      <c r="R187" s="30">
        <v>46128.625694444447</v>
      </c>
      <c r="S187" s="31">
        <v>46128.63</v>
      </c>
      <c r="T187" s="14">
        <f t="shared" si="1"/>
        <v>6.1999999929685146</v>
      </c>
      <c r="U187" s="14">
        <f t="shared" si="2"/>
        <v>8.2500000006984919</v>
      </c>
      <c r="V187" s="29" t="s">
        <v>786</v>
      </c>
      <c r="W187" s="15" t="s">
        <v>39</v>
      </c>
      <c r="X187" s="10" t="s">
        <v>40</v>
      </c>
      <c r="Y187" s="10" t="s">
        <v>41</v>
      </c>
      <c r="Z187" s="15" t="s">
        <v>241</v>
      </c>
      <c r="AA187" s="8" t="s">
        <v>318</v>
      </c>
      <c r="AB187" s="8" t="s">
        <v>29</v>
      </c>
    </row>
    <row r="188" spans="1:28" ht="28.5" x14ac:dyDescent="0.2">
      <c r="A188" s="8">
        <v>184</v>
      </c>
      <c r="B188" s="15" t="s">
        <v>787</v>
      </c>
      <c r="C188" s="15" t="s">
        <v>28</v>
      </c>
      <c r="D188" s="26">
        <v>46128</v>
      </c>
      <c r="E188" s="8" t="s">
        <v>254</v>
      </c>
      <c r="F188" s="12" t="s">
        <v>184</v>
      </c>
      <c r="G188" s="8" t="s">
        <v>55</v>
      </c>
      <c r="H188" s="8" t="s">
        <v>788</v>
      </c>
      <c r="I188" s="8" t="s">
        <v>782</v>
      </c>
      <c r="J188" s="8"/>
      <c r="K188" s="8"/>
      <c r="L188" s="8" t="s">
        <v>783</v>
      </c>
      <c r="M188" s="8" t="s">
        <v>107</v>
      </c>
      <c r="N188" s="8" t="s">
        <v>37</v>
      </c>
      <c r="O188" s="31">
        <v>46128.637326388889</v>
      </c>
      <c r="P188" s="31">
        <v>46128.640277777777</v>
      </c>
      <c r="Q188" s="14">
        <f t="shared" si="0"/>
        <v>4.2499999981373549</v>
      </c>
      <c r="R188" s="31">
        <v>46128.663194444445</v>
      </c>
      <c r="S188" s="31">
        <v>46128.675821759258</v>
      </c>
      <c r="T188" s="14">
        <f t="shared" si="1"/>
        <v>18.183333330089226</v>
      </c>
      <c r="U188" s="14">
        <f t="shared" si="2"/>
        <v>55.433333331020549</v>
      </c>
      <c r="V188" s="28" t="s">
        <v>789</v>
      </c>
      <c r="W188" s="15" t="s">
        <v>39</v>
      </c>
      <c r="X188" s="10" t="s">
        <v>40</v>
      </c>
      <c r="Y188" s="10" t="s">
        <v>41</v>
      </c>
      <c r="Z188" s="15" t="s">
        <v>241</v>
      </c>
      <c r="AA188" s="8" t="s">
        <v>318</v>
      </c>
      <c r="AB188" s="8" t="s">
        <v>582</v>
      </c>
    </row>
    <row r="189" spans="1:28" ht="28.5" x14ac:dyDescent="0.2">
      <c r="A189" s="8">
        <v>185</v>
      </c>
      <c r="B189" s="15" t="s">
        <v>790</v>
      </c>
      <c r="C189" s="15" t="s">
        <v>28</v>
      </c>
      <c r="D189" s="26">
        <v>46129</v>
      </c>
      <c r="E189" s="8" t="s">
        <v>290</v>
      </c>
      <c r="F189" s="12" t="s">
        <v>184</v>
      </c>
      <c r="G189" s="8" t="s">
        <v>55</v>
      </c>
      <c r="H189" s="12" t="s">
        <v>791</v>
      </c>
      <c r="I189" s="8" t="s">
        <v>363</v>
      </c>
      <c r="J189" s="8" t="s">
        <v>29</v>
      </c>
      <c r="K189" s="8" t="s">
        <v>364</v>
      </c>
      <c r="L189" s="8" t="s">
        <v>365</v>
      </c>
      <c r="M189" s="8" t="s">
        <v>107</v>
      </c>
      <c r="N189" s="8" t="s">
        <v>37</v>
      </c>
      <c r="O189" s="31">
        <v>46129.598692129628</v>
      </c>
      <c r="P189" s="30">
        <v>46129.600891203707</v>
      </c>
      <c r="Q189" s="14">
        <f t="shared" si="0"/>
        <v>3.1666666734963655</v>
      </c>
      <c r="R189" s="30">
        <v>46129.62027777778</v>
      </c>
      <c r="S189" s="30">
        <v>46129.624259259261</v>
      </c>
      <c r="T189" s="14">
        <f t="shared" si="1"/>
        <v>5.7333333324640989</v>
      </c>
      <c r="U189" s="14">
        <f t="shared" si="2"/>
        <v>36.816666671074927</v>
      </c>
      <c r="V189" s="28" t="s">
        <v>792</v>
      </c>
      <c r="W189" s="15" t="s">
        <v>39</v>
      </c>
      <c r="X189" s="10" t="s">
        <v>40</v>
      </c>
      <c r="Y189" s="10" t="s">
        <v>41</v>
      </c>
      <c r="Z189" s="15" t="s">
        <v>42</v>
      </c>
      <c r="AA189" s="8" t="s">
        <v>318</v>
      </c>
      <c r="AB189" s="28" t="s">
        <v>711</v>
      </c>
    </row>
    <row r="190" spans="1:28" ht="85.5" x14ac:dyDescent="0.2">
      <c r="A190" s="8">
        <v>186</v>
      </c>
      <c r="B190" s="15" t="s">
        <v>793</v>
      </c>
      <c r="C190" s="15" t="s">
        <v>28</v>
      </c>
      <c r="D190" s="26">
        <v>46130</v>
      </c>
      <c r="E190" s="8" t="s">
        <v>290</v>
      </c>
      <c r="F190" s="12" t="s">
        <v>794</v>
      </c>
      <c r="G190" s="8" t="s">
        <v>760</v>
      </c>
      <c r="H190" s="12" t="s">
        <v>795</v>
      </c>
      <c r="I190" s="8" t="s">
        <v>695</v>
      </c>
      <c r="J190" s="8" t="s">
        <v>29</v>
      </c>
      <c r="K190" s="8"/>
      <c r="L190" s="8" t="s">
        <v>796</v>
      </c>
      <c r="M190" s="8" t="s">
        <v>36</v>
      </c>
      <c r="N190" s="8" t="s">
        <v>37</v>
      </c>
      <c r="O190" s="31">
        <v>46130.411759259259</v>
      </c>
      <c r="P190" s="31">
        <v>46130.41574074074</v>
      </c>
      <c r="Q190" s="14">
        <f t="shared" si="0"/>
        <v>5.7333333324640989</v>
      </c>
      <c r="R190" s="31">
        <v>46130.444571759261</v>
      </c>
      <c r="S190" s="31">
        <v>46130.451354166667</v>
      </c>
      <c r="T190" s="14">
        <f t="shared" si="1"/>
        <v>9.7666666656732559</v>
      </c>
      <c r="U190" s="14">
        <f t="shared" si="2"/>
        <v>57.016666667768732</v>
      </c>
      <c r="V190" s="12" t="s">
        <v>797</v>
      </c>
      <c r="W190" s="15" t="s">
        <v>39</v>
      </c>
      <c r="X190" s="10" t="s">
        <v>66</v>
      </c>
      <c r="Y190" s="10" t="s">
        <v>67</v>
      </c>
      <c r="Z190" s="8" t="s">
        <v>67</v>
      </c>
      <c r="AA190" s="8" t="s">
        <v>518</v>
      </c>
      <c r="AB190" s="28" t="s">
        <v>711</v>
      </c>
    </row>
    <row r="191" spans="1:28" ht="28.5" x14ac:dyDescent="0.2">
      <c r="A191" s="8">
        <v>187</v>
      </c>
      <c r="B191" s="15" t="s">
        <v>798</v>
      </c>
      <c r="C191" s="15" t="s">
        <v>28</v>
      </c>
      <c r="D191" s="26">
        <v>46130</v>
      </c>
      <c r="E191" s="8" t="s">
        <v>290</v>
      </c>
      <c r="F191" s="12" t="s">
        <v>794</v>
      </c>
      <c r="G191" s="8" t="s">
        <v>760</v>
      </c>
      <c r="H191" s="12" t="s">
        <v>795</v>
      </c>
      <c r="I191" s="8" t="s">
        <v>799</v>
      </c>
      <c r="J191" s="8"/>
      <c r="K191" s="8"/>
      <c r="L191" s="8" t="s">
        <v>800</v>
      </c>
      <c r="M191" s="8" t="s">
        <v>36</v>
      </c>
      <c r="N191" s="8" t="s">
        <v>37</v>
      </c>
      <c r="O191" s="31">
        <v>46130.611678240741</v>
      </c>
      <c r="P191" s="31">
        <v>46130.614212962966</v>
      </c>
      <c r="Q191" s="14">
        <f t="shared" si="0"/>
        <v>3.6500000045634806</v>
      </c>
      <c r="R191" s="31">
        <v>46130.63921296296</v>
      </c>
      <c r="S191" s="31">
        <v>46130.644895833335</v>
      </c>
      <c r="T191" s="14">
        <f t="shared" si="1"/>
        <v>8.1833333394024521</v>
      </c>
      <c r="U191" s="14">
        <f t="shared" si="2"/>
        <v>47.83333333558403</v>
      </c>
      <c r="V191" s="28" t="s">
        <v>801</v>
      </c>
      <c r="W191" s="15" t="s">
        <v>39</v>
      </c>
      <c r="X191" s="10" t="s">
        <v>66</v>
      </c>
      <c r="Y191" s="10" t="s">
        <v>67</v>
      </c>
      <c r="Z191" s="8" t="s">
        <v>67</v>
      </c>
      <c r="AA191" s="8" t="s">
        <v>518</v>
      </c>
      <c r="AB191" s="28" t="s">
        <v>711</v>
      </c>
    </row>
    <row r="192" spans="1:28" ht="14.25" x14ac:dyDescent="0.2">
      <c r="A192" s="8">
        <v>188</v>
      </c>
      <c r="B192" s="21" t="s">
        <v>802</v>
      </c>
      <c r="C192" s="15" t="s">
        <v>28</v>
      </c>
      <c r="D192" s="26">
        <v>46130</v>
      </c>
      <c r="E192" s="8" t="s">
        <v>333</v>
      </c>
      <c r="F192" s="12" t="s">
        <v>736</v>
      </c>
      <c r="G192" s="8" t="s">
        <v>803</v>
      </c>
      <c r="H192" s="8" t="s">
        <v>717</v>
      </c>
      <c r="I192" s="8" t="s">
        <v>804</v>
      </c>
      <c r="J192" s="8" t="s">
        <v>29</v>
      </c>
      <c r="K192" s="8" t="s">
        <v>805</v>
      </c>
      <c r="L192" s="8" t="s">
        <v>806</v>
      </c>
      <c r="M192" s="8" t="s">
        <v>36</v>
      </c>
      <c r="N192" s="8" t="s">
        <v>37</v>
      </c>
      <c r="O192" s="31">
        <v>46130.806192129632</v>
      </c>
      <c r="P192" s="31">
        <v>46130.810069444444</v>
      </c>
      <c r="Q192" s="14">
        <f t="shared" si="0"/>
        <v>5.5833333288319409</v>
      </c>
      <c r="R192" s="31">
        <v>46130.842523148145</v>
      </c>
      <c r="S192" s="31">
        <v>46130.856006944443</v>
      </c>
      <c r="T192" s="14">
        <f t="shared" si="1"/>
        <v>19.416666668839753</v>
      </c>
      <c r="U192" s="14">
        <f t="shared" si="2"/>
        <v>71.733333327574655</v>
      </c>
      <c r="V192" s="28" t="s">
        <v>807</v>
      </c>
      <c r="W192" s="15" t="s">
        <v>39</v>
      </c>
      <c r="X192" s="10" t="s">
        <v>40</v>
      </c>
      <c r="Y192" s="10" t="s">
        <v>41</v>
      </c>
      <c r="Z192" s="15" t="s">
        <v>42</v>
      </c>
      <c r="AA192" s="8" t="s">
        <v>318</v>
      </c>
      <c r="AB192" s="28" t="s">
        <v>582</v>
      </c>
    </row>
    <row r="193" spans="1:28" ht="28.5" x14ac:dyDescent="0.2">
      <c r="A193" s="8">
        <v>189</v>
      </c>
      <c r="B193" s="21" t="s">
        <v>808</v>
      </c>
      <c r="C193" s="15" t="s">
        <v>28</v>
      </c>
      <c r="D193" s="26">
        <v>46130</v>
      </c>
      <c r="E193" s="8" t="s">
        <v>254</v>
      </c>
      <c r="F193" s="12" t="s">
        <v>184</v>
      </c>
      <c r="G193" s="8" t="s">
        <v>55</v>
      </c>
      <c r="H193" s="12" t="s">
        <v>809</v>
      </c>
      <c r="I193" s="8" t="s">
        <v>363</v>
      </c>
      <c r="J193" s="8" t="s">
        <v>29</v>
      </c>
      <c r="K193" s="8" t="s">
        <v>364</v>
      </c>
      <c r="L193" s="8" t="s">
        <v>365</v>
      </c>
      <c r="M193" s="8" t="s">
        <v>107</v>
      </c>
      <c r="N193" s="8" t="s">
        <v>37</v>
      </c>
      <c r="O193" s="31">
        <v>46130.98846064815</v>
      </c>
      <c r="P193" s="30">
        <v>46130.989583333336</v>
      </c>
      <c r="Q193" s="14">
        <f t="shared" si="0"/>
        <v>1.6166666673962027</v>
      </c>
      <c r="R193" s="30">
        <v>46131.024305555555</v>
      </c>
      <c r="S193" s="30">
        <v>46131.03707175926</v>
      </c>
      <c r="T193" s="14">
        <f t="shared" si="1"/>
        <v>18.383333334932104</v>
      </c>
      <c r="U193" s="14">
        <f t="shared" si="2"/>
        <v>69.999999997671694</v>
      </c>
      <c r="V193" s="28" t="s">
        <v>810</v>
      </c>
      <c r="W193" s="15" t="s">
        <v>39</v>
      </c>
      <c r="X193" s="10" t="s">
        <v>40</v>
      </c>
      <c r="Y193" s="10" t="s">
        <v>41</v>
      </c>
      <c r="Z193" s="15" t="s">
        <v>42</v>
      </c>
      <c r="AA193" s="8" t="s">
        <v>318</v>
      </c>
      <c r="AB193" s="28" t="s">
        <v>705</v>
      </c>
    </row>
    <row r="194" spans="1:28" ht="28.5" x14ac:dyDescent="0.2">
      <c r="A194" s="8">
        <v>190</v>
      </c>
      <c r="B194" s="15" t="s">
        <v>811</v>
      </c>
      <c r="C194" s="15" t="s">
        <v>28</v>
      </c>
      <c r="D194" s="26">
        <v>46131</v>
      </c>
      <c r="E194" s="8" t="s">
        <v>254</v>
      </c>
      <c r="F194" s="12" t="s">
        <v>184</v>
      </c>
      <c r="G194" s="8" t="s">
        <v>55</v>
      </c>
      <c r="H194" s="12" t="s">
        <v>812</v>
      </c>
      <c r="I194" s="8" t="s">
        <v>187</v>
      </c>
      <c r="J194" s="8" t="s">
        <v>29</v>
      </c>
      <c r="K194" s="8"/>
      <c r="L194" s="8" t="s">
        <v>432</v>
      </c>
      <c r="M194" s="8" t="s">
        <v>36</v>
      </c>
      <c r="N194" s="8" t="s">
        <v>37</v>
      </c>
      <c r="O194" s="31">
        <v>46131.021203703705</v>
      </c>
      <c r="P194" s="31">
        <v>46131.026388888888</v>
      </c>
      <c r="Q194" s="14">
        <f t="shared" si="0"/>
        <v>7.4666666623670608</v>
      </c>
      <c r="R194" s="31">
        <v>46131.021203703705</v>
      </c>
      <c r="S194" s="30">
        <v>46131.047106481485</v>
      </c>
      <c r="T194" s="14">
        <f t="shared" si="1"/>
        <v>37.300000002142042</v>
      </c>
      <c r="U194" s="14">
        <f t="shared" si="2"/>
        <v>37.300000002142042</v>
      </c>
      <c r="V194" s="28" t="s">
        <v>279</v>
      </c>
      <c r="W194" s="8" t="s">
        <v>39</v>
      </c>
      <c r="X194" s="8" t="s">
        <v>66</v>
      </c>
      <c r="Y194" s="8" t="s">
        <v>67</v>
      </c>
      <c r="Z194" s="8" t="s">
        <v>67</v>
      </c>
      <c r="AA194" s="8" t="s">
        <v>438</v>
      </c>
      <c r="AB194" s="28"/>
    </row>
    <row r="195" spans="1:28" ht="28.5" x14ac:dyDescent="0.2">
      <c r="A195" s="8">
        <v>191</v>
      </c>
      <c r="B195" s="15" t="s">
        <v>813</v>
      </c>
      <c r="C195" s="15" t="s">
        <v>28</v>
      </c>
      <c r="D195" s="26">
        <v>46131</v>
      </c>
      <c r="E195" s="8" t="s">
        <v>254</v>
      </c>
      <c r="F195" s="12" t="s">
        <v>184</v>
      </c>
      <c r="G195" s="8" t="s">
        <v>55</v>
      </c>
      <c r="H195" s="12" t="s">
        <v>814</v>
      </c>
      <c r="I195" s="8" t="s">
        <v>363</v>
      </c>
      <c r="J195" s="8" t="s">
        <v>29</v>
      </c>
      <c r="K195" s="8" t="s">
        <v>364</v>
      </c>
      <c r="L195" s="8" t="s">
        <v>365</v>
      </c>
      <c r="M195" s="8" t="s">
        <v>107</v>
      </c>
      <c r="N195" s="8" t="s">
        <v>37</v>
      </c>
      <c r="O195" s="31">
        <v>46131.074224537035</v>
      </c>
      <c r="P195" s="33">
        <v>46131.075694444444</v>
      </c>
      <c r="Q195" s="14">
        <f t="shared" si="0"/>
        <v>2.1166666690260172</v>
      </c>
      <c r="R195" s="31">
        <v>46131.074224537035</v>
      </c>
      <c r="S195" s="30">
        <v>46131.079317129632</v>
      </c>
      <c r="T195" s="14">
        <f t="shared" si="1"/>
        <v>7.3333333397749811</v>
      </c>
      <c r="U195" s="14">
        <f t="shared" si="2"/>
        <v>7.3333333397749811</v>
      </c>
      <c r="V195" s="28" t="s">
        <v>815</v>
      </c>
      <c r="W195" s="15" t="s">
        <v>39</v>
      </c>
      <c r="X195" s="10" t="s">
        <v>40</v>
      </c>
      <c r="Y195" s="10" t="s">
        <v>41</v>
      </c>
      <c r="Z195" s="15" t="s">
        <v>42</v>
      </c>
      <c r="AA195" s="8" t="s">
        <v>318</v>
      </c>
      <c r="AB195" s="28" t="s">
        <v>705</v>
      </c>
    </row>
    <row r="196" spans="1:28" ht="28.5" x14ac:dyDescent="0.2">
      <c r="A196" s="8">
        <v>192</v>
      </c>
      <c r="B196" s="15" t="s">
        <v>816</v>
      </c>
      <c r="C196" s="15" t="s">
        <v>28</v>
      </c>
      <c r="D196" s="26">
        <v>46131</v>
      </c>
      <c r="E196" s="8" t="s">
        <v>254</v>
      </c>
      <c r="F196" s="12" t="s">
        <v>184</v>
      </c>
      <c r="G196" s="8" t="s">
        <v>55</v>
      </c>
      <c r="H196" s="12" t="s">
        <v>817</v>
      </c>
      <c r="I196" s="8" t="s">
        <v>363</v>
      </c>
      <c r="J196" s="8" t="s">
        <v>29</v>
      </c>
      <c r="K196" s="8" t="s">
        <v>364</v>
      </c>
      <c r="L196" s="8" t="s">
        <v>365</v>
      </c>
      <c r="M196" s="8" t="s">
        <v>107</v>
      </c>
      <c r="N196" s="8" t="s">
        <v>37</v>
      </c>
      <c r="O196" s="31">
        <v>46131.121099537035</v>
      </c>
      <c r="P196" s="31">
        <v>46131.127083333333</v>
      </c>
      <c r="Q196" s="14">
        <f t="shared" si="0"/>
        <v>8.6166666692588478</v>
      </c>
      <c r="R196" s="31">
        <v>46131.121099537035</v>
      </c>
      <c r="S196" s="30">
        <v>46131.137916666667</v>
      </c>
      <c r="T196" s="14">
        <f t="shared" si="1"/>
        <v>24.216666669817641</v>
      </c>
      <c r="U196" s="14">
        <f t="shared" si="2"/>
        <v>24.216666669817641</v>
      </c>
      <c r="V196" s="28" t="s">
        <v>818</v>
      </c>
      <c r="W196" s="15" t="s">
        <v>39</v>
      </c>
      <c r="X196" s="10" t="s">
        <v>40</v>
      </c>
      <c r="Y196" s="10" t="s">
        <v>41</v>
      </c>
      <c r="Z196" s="15" t="s">
        <v>42</v>
      </c>
      <c r="AA196" s="8" t="s">
        <v>318</v>
      </c>
      <c r="AB196" s="28" t="s">
        <v>705</v>
      </c>
    </row>
    <row r="197" spans="1:28" ht="28.5" x14ac:dyDescent="0.2">
      <c r="A197" s="8">
        <v>193</v>
      </c>
      <c r="B197" s="15" t="s">
        <v>819</v>
      </c>
      <c r="C197" s="15" t="s">
        <v>28</v>
      </c>
      <c r="D197" s="26">
        <v>46131</v>
      </c>
      <c r="E197" s="8" t="s">
        <v>290</v>
      </c>
      <c r="F197" s="12" t="s">
        <v>184</v>
      </c>
      <c r="G197" s="8" t="s">
        <v>55</v>
      </c>
      <c r="H197" s="12" t="s">
        <v>717</v>
      </c>
      <c r="I197" s="8" t="s">
        <v>363</v>
      </c>
      <c r="J197" s="8"/>
      <c r="K197" s="8" t="s">
        <v>364</v>
      </c>
      <c r="L197" s="8" t="s">
        <v>365</v>
      </c>
      <c r="M197" s="8" t="s">
        <v>107</v>
      </c>
      <c r="N197" s="8" t="s">
        <v>37</v>
      </c>
      <c r="O197" s="31">
        <v>46131.373043981483</v>
      </c>
      <c r="P197" s="31">
        <v>46131.374074074076</v>
      </c>
      <c r="Q197" s="14">
        <f t="shared" si="0"/>
        <v>1.4833333343267441</v>
      </c>
      <c r="R197" s="31">
        <v>46131.373043981483</v>
      </c>
      <c r="S197" s="31">
        <v>46131.375335648147</v>
      </c>
      <c r="T197" s="14">
        <f t="shared" si="1"/>
        <v>3.2999999960884452</v>
      </c>
      <c r="U197" s="14">
        <f t="shared" si="2"/>
        <v>3.2999999960884452</v>
      </c>
      <c r="V197" s="28" t="s">
        <v>777</v>
      </c>
      <c r="W197" s="15" t="s">
        <v>39</v>
      </c>
      <c r="X197" s="10" t="s">
        <v>40</v>
      </c>
      <c r="Y197" s="10" t="s">
        <v>41</v>
      </c>
      <c r="Z197" s="15" t="s">
        <v>42</v>
      </c>
      <c r="AA197" s="8" t="s">
        <v>318</v>
      </c>
      <c r="AB197" s="28" t="s">
        <v>29</v>
      </c>
    </row>
    <row r="198" spans="1:28" ht="28.5" x14ac:dyDescent="0.2">
      <c r="A198" s="8">
        <v>194</v>
      </c>
      <c r="B198" s="15" t="s">
        <v>820</v>
      </c>
      <c r="C198" s="15" t="s">
        <v>28</v>
      </c>
      <c r="D198" s="26">
        <v>46131</v>
      </c>
      <c r="E198" s="8" t="s">
        <v>290</v>
      </c>
      <c r="F198" s="12" t="s">
        <v>184</v>
      </c>
      <c r="G198" s="8" t="s">
        <v>55</v>
      </c>
      <c r="H198" s="12" t="s">
        <v>821</v>
      </c>
      <c r="I198" s="8" t="s">
        <v>363</v>
      </c>
      <c r="J198" s="8"/>
      <c r="K198" s="8" t="s">
        <v>364</v>
      </c>
      <c r="L198" s="8" t="s">
        <v>365</v>
      </c>
      <c r="M198" s="8" t="s">
        <v>107</v>
      </c>
      <c r="N198" s="8" t="s">
        <v>37</v>
      </c>
      <c r="O198" s="31">
        <v>46131.382210648146</v>
      </c>
      <c r="P198" s="31">
        <v>46131.382754629631</v>
      </c>
      <c r="Q198" s="14">
        <f t="shared" si="0"/>
        <v>0.78333333833143115</v>
      </c>
      <c r="R198" s="31">
        <v>46131.382210648146</v>
      </c>
      <c r="S198" s="31">
        <v>46131.385254629633</v>
      </c>
      <c r="T198" s="14">
        <f t="shared" si="1"/>
        <v>4.3833333416841924</v>
      </c>
      <c r="U198" s="14">
        <f t="shared" si="2"/>
        <v>4.3833333416841924</v>
      </c>
      <c r="V198" s="12" t="s">
        <v>822</v>
      </c>
      <c r="W198" s="15" t="s">
        <v>39</v>
      </c>
      <c r="X198" s="10" t="s">
        <v>40</v>
      </c>
      <c r="Y198" s="10" t="s">
        <v>41</v>
      </c>
      <c r="Z198" s="15" t="s">
        <v>42</v>
      </c>
      <c r="AA198" s="8" t="s">
        <v>318</v>
      </c>
      <c r="AB198" s="28" t="s">
        <v>29</v>
      </c>
    </row>
    <row r="199" spans="1:28" ht="51" x14ac:dyDescent="0.2">
      <c r="A199" s="8">
        <v>195</v>
      </c>
      <c r="B199" s="15" t="s">
        <v>823</v>
      </c>
      <c r="C199" s="15" t="s">
        <v>28</v>
      </c>
      <c r="D199" s="26">
        <v>46131</v>
      </c>
      <c r="E199" s="8" t="s">
        <v>290</v>
      </c>
      <c r="F199" s="12" t="s">
        <v>794</v>
      </c>
      <c r="G199" s="8" t="s">
        <v>760</v>
      </c>
      <c r="H199" s="12" t="s">
        <v>795</v>
      </c>
      <c r="I199" s="8" t="s">
        <v>824</v>
      </c>
      <c r="J199" s="8"/>
      <c r="K199" s="8"/>
      <c r="L199" s="8" t="s">
        <v>825</v>
      </c>
      <c r="M199" s="8" t="s">
        <v>36</v>
      </c>
      <c r="N199" s="8" t="s">
        <v>37</v>
      </c>
      <c r="O199" s="31">
        <v>46131.389155092591</v>
      </c>
      <c r="P199" s="31">
        <v>46131.391180555554</v>
      </c>
      <c r="Q199" s="14">
        <f t="shared" si="0"/>
        <v>2.9166666674427688</v>
      </c>
      <c r="R199" s="31">
        <v>46131.452222222222</v>
      </c>
      <c r="S199" s="31">
        <v>46131.454155092593</v>
      </c>
      <c r="T199" s="14">
        <f t="shared" si="1"/>
        <v>2.7833333343733102</v>
      </c>
      <c r="U199" s="14">
        <f t="shared" si="2"/>
        <v>93.600000003352761</v>
      </c>
      <c r="V199" s="29" t="s">
        <v>826</v>
      </c>
      <c r="W199" s="15" t="s">
        <v>39</v>
      </c>
      <c r="X199" s="8" t="s">
        <v>66</v>
      </c>
      <c r="Y199" s="8" t="s">
        <v>67</v>
      </c>
      <c r="Z199" s="8" t="s">
        <v>67</v>
      </c>
      <c r="AA199" s="8" t="s">
        <v>518</v>
      </c>
      <c r="AB199" s="28" t="s">
        <v>650</v>
      </c>
    </row>
    <row r="200" spans="1:28" ht="28.5" x14ac:dyDescent="0.2">
      <c r="A200" s="8">
        <v>196</v>
      </c>
      <c r="B200" s="15" t="s">
        <v>827</v>
      </c>
      <c r="C200" s="15" t="s">
        <v>28</v>
      </c>
      <c r="D200" s="26">
        <v>46131</v>
      </c>
      <c r="E200" s="8" t="s">
        <v>265</v>
      </c>
      <c r="F200" s="12" t="s">
        <v>184</v>
      </c>
      <c r="G200" s="12" t="s">
        <v>55</v>
      </c>
      <c r="H200" s="8" t="s">
        <v>828</v>
      </c>
      <c r="I200" s="8" t="s">
        <v>829</v>
      </c>
      <c r="J200" s="8"/>
      <c r="K200" s="8" t="s">
        <v>830</v>
      </c>
      <c r="L200" s="8" t="s">
        <v>831</v>
      </c>
      <c r="M200" s="8" t="s">
        <v>107</v>
      </c>
      <c r="N200" s="8" t="s">
        <v>37</v>
      </c>
      <c r="O200" s="31">
        <v>46131.808159722219</v>
      </c>
      <c r="P200" s="31">
        <v>46131.809027777781</v>
      </c>
      <c r="Q200" s="14">
        <f t="shared" si="0"/>
        <v>1.2500000093132257</v>
      </c>
      <c r="R200" s="31">
        <v>46131.838888888888</v>
      </c>
      <c r="S200" s="31">
        <v>46131.846145833333</v>
      </c>
      <c r="T200" s="14">
        <f t="shared" si="1"/>
        <v>10.450000001583248</v>
      </c>
      <c r="U200" s="14">
        <f t="shared" si="2"/>
        <v>54.700000004377216</v>
      </c>
      <c r="V200" s="28" t="s">
        <v>832</v>
      </c>
      <c r="W200" s="15" t="s">
        <v>39</v>
      </c>
      <c r="X200" s="8" t="s">
        <v>66</v>
      </c>
      <c r="Y200" s="8" t="s">
        <v>67</v>
      </c>
      <c r="Z200" s="8" t="s">
        <v>67</v>
      </c>
      <c r="AA200" s="8" t="s">
        <v>518</v>
      </c>
      <c r="AB200" s="28" t="s">
        <v>833</v>
      </c>
    </row>
    <row r="201" spans="1:28" ht="28.5" x14ac:dyDescent="0.2">
      <c r="A201" s="8">
        <v>197</v>
      </c>
      <c r="B201" s="15" t="s">
        <v>834</v>
      </c>
      <c r="C201" s="15" t="s">
        <v>28</v>
      </c>
      <c r="D201" s="26">
        <v>46131</v>
      </c>
      <c r="E201" s="8" t="s">
        <v>265</v>
      </c>
      <c r="F201" s="12" t="s">
        <v>184</v>
      </c>
      <c r="G201" s="12" t="s">
        <v>55</v>
      </c>
      <c r="H201" s="8" t="s">
        <v>835</v>
      </c>
      <c r="I201" s="8" t="s">
        <v>836</v>
      </c>
      <c r="J201" s="8"/>
      <c r="K201" s="8"/>
      <c r="L201" s="8" t="s">
        <v>837</v>
      </c>
      <c r="M201" s="8" t="s">
        <v>36</v>
      </c>
      <c r="N201" s="8" t="s">
        <v>37</v>
      </c>
      <c r="O201" s="31">
        <v>46131.815798611111</v>
      </c>
      <c r="P201" s="31">
        <v>46131.817361111112</v>
      </c>
      <c r="Q201" s="14">
        <f t="shared" si="0"/>
        <v>2.2500000020954758</v>
      </c>
      <c r="R201" s="31">
        <v>46131.817361111112</v>
      </c>
      <c r="S201" s="31">
        <v>46131.81753472222</v>
      </c>
      <c r="T201" s="14">
        <f t="shared" si="1"/>
        <v>0.24999999557621777</v>
      </c>
      <c r="U201" s="14">
        <f t="shared" si="2"/>
        <v>2.4999999976716936</v>
      </c>
      <c r="V201" s="28" t="s">
        <v>838</v>
      </c>
      <c r="W201" s="15" t="s">
        <v>39</v>
      </c>
      <c r="X201" s="8" t="s">
        <v>66</v>
      </c>
      <c r="Y201" s="8" t="s">
        <v>67</v>
      </c>
      <c r="Z201" s="8" t="s">
        <v>67</v>
      </c>
      <c r="AA201" s="8" t="s">
        <v>518</v>
      </c>
      <c r="AB201" s="28" t="s">
        <v>29</v>
      </c>
    </row>
    <row r="202" spans="1:28" ht="28.5" x14ac:dyDescent="0.2">
      <c r="A202" s="8">
        <v>198</v>
      </c>
      <c r="B202" s="15" t="s">
        <v>839</v>
      </c>
      <c r="C202" s="15" t="s">
        <v>28</v>
      </c>
      <c r="D202" s="26">
        <v>46131</v>
      </c>
      <c r="E202" s="8" t="s">
        <v>265</v>
      </c>
      <c r="F202" s="12" t="s">
        <v>184</v>
      </c>
      <c r="G202" s="12" t="s">
        <v>55</v>
      </c>
      <c r="H202" s="28" t="s">
        <v>840</v>
      </c>
      <c r="I202" s="8" t="s">
        <v>841</v>
      </c>
      <c r="J202" s="8"/>
      <c r="K202" s="8"/>
      <c r="L202" s="8" t="s">
        <v>842</v>
      </c>
      <c r="M202" s="8" t="s">
        <v>36</v>
      </c>
      <c r="N202" s="8" t="s">
        <v>37</v>
      </c>
      <c r="O202" s="31">
        <v>46131.902650462966</v>
      </c>
      <c r="P202" s="31">
        <v>46131.904166666667</v>
      </c>
      <c r="Q202" s="14">
        <f t="shared" si="0"/>
        <v>2.183333330322057</v>
      </c>
      <c r="R202" s="31">
        <v>46131.904861111114</v>
      </c>
      <c r="S202" s="31">
        <v>46131.907349537039</v>
      </c>
      <c r="T202" s="14">
        <f t="shared" si="1"/>
        <v>3.5833333327900618</v>
      </c>
      <c r="U202" s="14">
        <f t="shared" si="2"/>
        <v>6.7666666663717479</v>
      </c>
      <c r="V202" s="28" t="s">
        <v>840</v>
      </c>
      <c r="W202" s="15" t="s">
        <v>39</v>
      </c>
      <c r="X202" s="8" t="s">
        <v>66</v>
      </c>
      <c r="Y202" s="8" t="s">
        <v>67</v>
      </c>
      <c r="Z202" s="8" t="s">
        <v>67</v>
      </c>
      <c r="AA202" s="8" t="s">
        <v>518</v>
      </c>
      <c r="AB202" s="28" t="s">
        <v>711</v>
      </c>
    </row>
    <row r="203" spans="1:28" ht="28.5" x14ac:dyDescent="0.2">
      <c r="A203" s="8">
        <v>199</v>
      </c>
      <c r="B203" s="15" t="s">
        <v>843</v>
      </c>
      <c r="C203" s="15" t="s">
        <v>28</v>
      </c>
      <c r="D203" s="26">
        <v>46131</v>
      </c>
      <c r="E203" s="8" t="s">
        <v>265</v>
      </c>
      <c r="F203" s="12" t="s">
        <v>184</v>
      </c>
      <c r="G203" s="12" t="s">
        <v>55</v>
      </c>
      <c r="H203" s="8" t="s">
        <v>844</v>
      </c>
      <c r="I203" s="8" t="s">
        <v>462</v>
      </c>
      <c r="J203" s="8"/>
      <c r="K203" s="8"/>
      <c r="L203" s="8" t="s">
        <v>845</v>
      </c>
      <c r="M203" s="8" t="s">
        <v>107</v>
      </c>
      <c r="N203" s="8" t="s">
        <v>37</v>
      </c>
      <c r="O203" s="31">
        <v>46131.985613425924</v>
      </c>
      <c r="P203" s="31">
        <v>46131.987500000003</v>
      </c>
      <c r="Q203" s="14">
        <f t="shared" si="0"/>
        <v>2.7166666730772704</v>
      </c>
      <c r="R203" s="31">
        <v>46131.987500000003</v>
      </c>
      <c r="S203" s="31">
        <v>46131.992430555554</v>
      </c>
      <c r="T203" s="14">
        <f t="shared" si="1"/>
        <v>7.0999999938067049</v>
      </c>
      <c r="U203" s="14">
        <f t="shared" si="2"/>
        <v>9.8166666668839753</v>
      </c>
      <c r="V203" s="8" t="s">
        <v>844</v>
      </c>
      <c r="W203" s="15" t="s">
        <v>39</v>
      </c>
      <c r="X203" s="8" t="s">
        <v>40</v>
      </c>
      <c r="Y203" s="8" t="s">
        <v>41</v>
      </c>
      <c r="Z203" s="8" t="s">
        <v>42</v>
      </c>
      <c r="AA203" s="8" t="s">
        <v>518</v>
      </c>
      <c r="AB203" s="28" t="s">
        <v>29</v>
      </c>
    </row>
    <row r="204" spans="1:28" ht="38.25" x14ac:dyDescent="0.2">
      <c r="A204" s="8">
        <v>200</v>
      </c>
      <c r="B204" s="21" t="s">
        <v>846</v>
      </c>
      <c r="C204" s="15" t="s">
        <v>28</v>
      </c>
      <c r="D204" s="26">
        <v>46132</v>
      </c>
      <c r="E204" s="8" t="s">
        <v>290</v>
      </c>
      <c r="F204" s="12" t="s">
        <v>794</v>
      </c>
      <c r="G204" s="8" t="s">
        <v>760</v>
      </c>
      <c r="H204" s="12" t="s">
        <v>847</v>
      </c>
      <c r="I204" s="8" t="s">
        <v>229</v>
      </c>
      <c r="J204" s="8"/>
      <c r="K204" s="8"/>
      <c r="L204" s="8" t="s">
        <v>825</v>
      </c>
      <c r="M204" s="8" t="s">
        <v>36</v>
      </c>
      <c r="N204" s="8" t="s">
        <v>37</v>
      </c>
      <c r="O204" s="31">
        <v>46132.449421296296</v>
      </c>
      <c r="P204" s="31">
        <v>46132.452025462961</v>
      </c>
      <c r="Q204" s="14">
        <f t="shared" si="0"/>
        <v>3.7499999965075403</v>
      </c>
      <c r="R204" s="31">
        <v>46132.45758101852</v>
      </c>
      <c r="S204" s="31">
        <v>46132.492337962962</v>
      </c>
      <c r="T204" s="14">
        <f t="shared" si="1"/>
        <v>50.049999996554106</v>
      </c>
      <c r="U204" s="14">
        <f t="shared" si="2"/>
        <v>61.799999998183921</v>
      </c>
      <c r="V204" s="29" t="s">
        <v>848</v>
      </c>
      <c r="W204" s="15" t="s">
        <v>39</v>
      </c>
      <c r="X204" s="8" t="s">
        <v>40</v>
      </c>
      <c r="Y204" s="8" t="s">
        <v>594</v>
      </c>
      <c r="Z204" s="8" t="s">
        <v>849</v>
      </c>
      <c r="AA204" s="8" t="s">
        <v>518</v>
      </c>
      <c r="AB204" s="28" t="s">
        <v>850</v>
      </c>
    </row>
    <row r="205" spans="1:28" ht="28.5" x14ac:dyDescent="0.2">
      <c r="A205" s="8">
        <v>201</v>
      </c>
      <c r="B205" s="15" t="s">
        <v>851</v>
      </c>
      <c r="C205" s="15" t="s">
        <v>28</v>
      </c>
      <c r="D205" s="26">
        <v>46132</v>
      </c>
      <c r="E205" s="8" t="s">
        <v>265</v>
      </c>
      <c r="F205" s="12" t="s">
        <v>184</v>
      </c>
      <c r="G205" s="12" t="s">
        <v>55</v>
      </c>
      <c r="H205" s="12" t="s">
        <v>852</v>
      </c>
      <c r="I205" s="8" t="s">
        <v>420</v>
      </c>
      <c r="J205" s="8"/>
      <c r="K205" s="8"/>
      <c r="L205" s="8" t="s">
        <v>450</v>
      </c>
      <c r="M205" s="8" t="s">
        <v>36</v>
      </c>
      <c r="N205" s="8" t="s">
        <v>37</v>
      </c>
      <c r="O205" s="31">
        <v>46132.633831018517</v>
      </c>
      <c r="P205" s="31">
        <v>46132.636111111111</v>
      </c>
      <c r="Q205" s="14">
        <f t="shared" si="0"/>
        <v>3.2833333360031247</v>
      </c>
      <c r="R205" s="31">
        <v>46132.63958333333</v>
      </c>
      <c r="S205" s="31">
        <v>46132.651550925926</v>
      </c>
      <c r="T205" s="14">
        <f t="shared" si="1"/>
        <v>17.233333338517696</v>
      </c>
      <c r="U205" s="14">
        <f t="shared" si="2"/>
        <v>25.516666669864208</v>
      </c>
      <c r="V205" s="12" t="s">
        <v>853</v>
      </c>
      <c r="W205" s="15" t="s">
        <v>39</v>
      </c>
      <c r="X205" s="10" t="s">
        <v>40</v>
      </c>
      <c r="Y205" s="10" t="s">
        <v>41</v>
      </c>
      <c r="Z205" s="15" t="s">
        <v>769</v>
      </c>
      <c r="AA205" s="8" t="s">
        <v>318</v>
      </c>
      <c r="AB205" s="28" t="s">
        <v>854</v>
      </c>
    </row>
    <row r="206" spans="1:28" ht="28.5" x14ac:dyDescent="0.2">
      <c r="A206" s="8">
        <v>202</v>
      </c>
      <c r="B206" s="15" t="s">
        <v>855</v>
      </c>
      <c r="C206" s="15" t="s">
        <v>28</v>
      </c>
      <c r="D206" s="26">
        <v>46132</v>
      </c>
      <c r="E206" s="8" t="s">
        <v>254</v>
      </c>
      <c r="F206" s="12" t="s">
        <v>856</v>
      </c>
      <c r="G206" s="8" t="s">
        <v>857</v>
      </c>
      <c r="H206" s="8" t="s">
        <v>858</v>
      </c>
      <c r="I206" s="8" t="s">
        <v>203</v>
      </c>
      <c r="J206" s="8"/>
      <c r="K206" s="8"/>
      <c r="L206" s="8" t="s">
        <v>859</v>
      </c>
      <c r="M206" s="8" t="s">
        <v>36</v>
      </c>
      <c r="N206" s="8" t="s">
        <v>37</v>
      </c>
      <c r="O206" s="31">
        <v>46132.965543981481</v>
      </c>
      <c r="P206" s="31">
        <v>46132.970138888886</v>
      </c>
      <c r="Q206" s="14">
        <f t="shared" si="0"/>
        <v>6.6166666627395898</v>
      </c>
      <c r="R206" s="31">
        <v>46132.970138888886</v>
      </c>
      <c r="S206" s="31">
        <v>46132.981631944444</v>
      </c>
      <c r="T206" s="14">
        <f t="shared" si="1"/>
        <v>16.550000002607703</v>
      </c>
      <c r="U206" s="14">
        <f t="shared" si="2"/>
        <v>23.166666665347293</v>
      </c>
      <c r="V206" s="28" t="s">
        <v>860</v>
      </c>
      <c r="W206" s="15" t="s">
        <v>39</v>
      </c>
      <c r="X206" s="8" t="s">
        <v>66</v>
      </c>
      <c r="Y206" s="8" t="s">
        <v>67</v>
      </c>
      <c r="Z206" s="8" t="s">
        <v>67</v>
      </c>
      <c r="AA206" s="8" t="s">
        <v>518</v>
      </c>
      <c r="AB206" s="28" t="s">
        <v>29</v>
      </c>
    </row>
    <row r="207" spans="1:28" ht="28.5" x14ac:dyDescent="0.2">
      <c r="A207" s="8">
        <v>203</v>
      </c>
      <c r="B207" s="15" t="s">
        <v>861</v>
      </c>
      <c r="C207" s="15" t="s">
        <v>28</v>
      </c>
      <c r="D207" s="26">
        <v>46133</v>
      </c>
      <c r="E207" s="8" t="s">
        <v>254</v>
      </c>
      <c r="F207" s="12" t="s">
        <v>856</v>
      </c>
      <c r="G207" s="8" t="s">
        <v>857</v>
      </c>
      <c r="H207" s="8" t="s">
        <v>858</v>
      </c>
      <c r="I207" s="8" t="s">
        <v>213</v>
      </c>
      <c r="J207" s="8"/>
      <c r="K207" s="8"/>
      <c r="L207" s="8" t="s">
        <v>761</v>
      </c>
      <c r="M207" s="8" t="s">
        <v>36</v>
      </c>
      <c r="N207" s="8" t="s">
        <v>37</v>
      </c>
      <c r="O207" s="31">
        <v>46133.031712962962</v>
      </c>
      <c r="P207" s="31">
        <v>46133.038194444445</v>
      </c>
      <c r="Q207" s="14">
        <f t="shared" si="0"/>
        <v>9.3333333358168602</v>
      </c>
      <c r="R207" s="31">
        <v>46133.038194444445</v>
      </c>
      <c r="S207" s="31">
        <v>46133.055532407408</v>
      </c>
      <c r="T207" s="14">
        <f t="shared" si="1"/>
        <v>24.966666667023674</v>
      </c>
      <c r="U207" s="14">
        <f t="shared" si="2"/>
        <v>34.300000002840534</v>
      </c>
      <c r="V207" s="28" t="s">
        <v>860</v>
      </c>
      <c r="W207" s="15" t="s">
        <v>39</v>
      </c>
      <c r="X207" s="8" t="s">
        <v>66</v>
      </c>
      <c r="Y207" s="8" t="s">
        <v>67</v>
      </c>
      <c r="Z207" s="8" t="s">
        <v>67</v>
      </c>
      <c r="AA207" s="8" t="s">
        <v>518</v>
      </c>
      <c r="AB207" s="28" t="s">
        <v>29</v>
      </c>
    </row>
    <row r="208" spans="1:28" ht="28.5" x14ac:dyDescent="0.2">
      <c r="A208" s="8">
        <v>204</v>
      </c>
      <c r="B208" s="21" t="s">
        <v>862</v>
      </c>
      <c r="C208" s="15" t="s">
        <v>28</v>
      </c>
      <c r="D208" s="26">
        <v>46133</v>
      </c>
      <c r="E208" s="8" t="s">
        <v>333</v>
      </c>
      <c r="F208" s="12" t="s">
        <v>184</v>
      </c>
      <c r="G208" s="8" t="s">
        <v>55</v>
      </c>
      <c r="H208" s="12" t="s">
        <v>863</v>
      </c>
      <c r="I208" s="8" t="s">
        <v>864</v>
      </c>
      <c r="J208" s="8" t="s">
        <v>29</v>
      </c>
      <c r="K208" s="8"/>
      <c r="L208" s="8" t="s">
        <v>865</v>
      </c>
      <c r="M208" s="8" t="s">
        <v>107</v>
      </c>
      <c r="N208" s="8" t="s">
        <v>37</v>
      </c>
      <c r="O208" s="31">
        <v>46133.413148148145</v>
      </c>
      <c r="P208" s="31">
        <v>46133.413842592592</v>
      </c>
      <c r="Q208" s="14">
        <f t="shared" si="0"/>
        <v>1.000000003259629</v>
      </c>
      <c r="R208" s="31">
        <v>46133.413842592592</v>
      </c>
      <c r="S208" s="31">
        <v>46133.416018518517</v>
      </c>
      <c r="T208" s="14">
        <f t="shared" si="1"/>
        <v>3.1333333323709667</v>
      </c>
      <c r="U208" s="14">
        <f t="shared" si="2"/>
        <v>4.1333333356305957</v>
      </c>
      <c r="V208" s="12" t="s">
        <v>866</v>
      </c>
      <c r="W208" s="15" t="s">
        <v>39</v>
      </c>
      <c r="X208" s="10" t="s">
        <v>40</v>
      </c>
      <c r="Y208" s="10" t="s">
        <v>41</v>
      </c>
      <c r="Z208" s="15" t="s">
        <v>42</v>
      </c>
      <c r="AA208" s="8" t="s">
        <v>318</v>
      </c>
      <c r="AB208" s="8" t="s">
        <v>29</v>
      </c>
    </row>
    <row r="209" spans="1:28" ht="28.5" x14ac:dyDescent="0.2">
      <c r="A209" s="8">
        <v>205</v>
      </c>
      <c r="B209" s="21" t="s">
        <v>867</v>
      </c>
      <c r="C209" s="15" t="s">
        <v>28</v>
      </c>
      <c r="D209" s="26">
        <v>46133</v>
      </c>
      <c r="E209" s="8" t="s">
        <v>333</v>
      </c>
      <c r="F209" s="12" t="s">
        <v>184</v>
      </c>
      <c r="G209" s="8" t="s">
        <v>55</v>
      </c>
      <c r="H209" s="12" t="s">
        <v>868</v>
      </c>
      <c r="I209" s="8" t="s">
        <v>864</v>
      </c>
      <c r="J209" s="8" t="s">
        <v>29</v>
      </c>
      <c r="K209" s="8" t="s">
        <v>84</v>
      </c>
      <c r="L209" s="8" t="s">
        <v>865</v>
      </c>
      <c r="M209" s="8" t="s">
        <v>107</v>
      </c>
      <c r="N209" s="8" t="s">
        <v>37</v>
      </c>
      <c r="O209" s="31">
        <v>46133.45621527778</v>
      </c>
      <c r="P209" s="31">
        <v>46133.457604166666</v>
      </c>
      <c r="Q209" s="14">
        <f t="shared" si="0"/>
        <v>1.9999999960418791</v>
      </c>
      <c r="R209" s="31">
        <v>46133.489548611113</v>
      </c>
      <c r="S209" s="31">
        <v>46133.490763888891</v>
      </c>
      <c r="T209" s="14">
        <f t="shared" si="1"/>
        <v>1.7500000004656613</v>
      </c>
      <c r="U209" s="14">
        <f t="shared" si="2"/>
        <v>49.749999999767169</v>
      </c>
      <c r="V209" s="12" t="s">
        <v>866</v>
      </c>
      <c r="W209" s="15" t="s">
        <v>39</v>
      </c>
      <c r="X209" s="10" t="s">
        <v>40</v>
      </c>
      <c r="Y209" s="10" t="s">
        <v>41</v>
      </c>
      <c r="Z209" s="15" t="s">
        <v>42</v>
      </c>
      <c r="AA209" s="8" t="s">
        <v>318</v>
      </c>
      <c r="AB209" s="8" t="s">
        <v>29</v>
      </c>
    </row>
    <row r="210" spans="1:28" ht="14.25" x14ac:dyDescent="0.2">
      <c r="A210" s="8">
        <v>206</v>
      </c>
      <c r="B210" s="15" t="s">
        <v>869</v>
      </c>
      <c r="C210" s="15" t="s">
        <v>28</v>
      </c>
      <c r="D210" s="26">
        <v>46134</v>
      </c>
      <c r="E210" s="8" t="s">
        <v>333</v>
      </c>
      <c r="F210" s="12" t="s">
        <v>60</v>
      </c>
      <c r="G210" s="8" t="s">
        <v>857</v>
      </c>
      <c r="H210" s="8" t="s">
        <v>870</v>
      </c>
      <c r="I210" s="8" t="s">
        <v>864</v>
      </c>
      <c r="J210" s="8" t="s">
        <v>29</v>
      </c>
      <c r="K210" s="8" t="s">
        <v>84</v>
      </c>
      <c r="L210" s="8" t="s">
        <v>865</v>
      </c>
      <c r="M210" s="8" t="s">
        <v>107</v>
      </c>
      <c r="N210" s="8" t="s">
        <v>37</v>
      </c>
      <c r="O210" s="31">
        <v>46134.263888888891</v>
      </c>
      <c r="P210" s="31">
        <v>46134.273611111108</v>
      </c>
      <c r="Q210" s="14">
        <f t="shared" si="0"/>
        <v>13.999999993247911</v>
      </c>
      <c r="R210" s="31">
        <v>46134.298611111109</v>
      </c>
      <c r="S210" s="31">
        <v>46134.320104166669</v>
      </c>
      <c r="T210" s="14">
        <f t="shared" si="1"/>
        <v>30.950000005541369</v>
      </c>
      <c r="U210" s="14">
        <f t="shared" si="2"/>
        <v>80.950000000884756</v>
      </c>
      <c r="V210" s="12" t="s">
        <v>871</v>
      </c>
      <c r="W210" s="15" t="s">
        <v>39</v>
      </c>
      <c r="X210" s="8" t="s">
        <v>66</v>
      </c>
      <c r="Y210" s="8" t="s">
        <v>67</v>
      </c>
      <c r="Z210" s="8" t="s">
        <v>67</v>
      </c>
      <c r="AA210" s="8" t="s">
        <v>518</v>
      </c>
      <c r="AB210" s="28" t="s">
        <v>672</v>
      </c>
    </row>
    <row r="211" spans="1:28" ht="14.25" x14ac:dyDescent="0.2">
      <c r="A211" s="8">
        <v>207</v>
      </c>
      <c r="B211" s="15" t="s">
        <v>869</v>
      </c>
      <c r="C211" s="15" t="s">
        <v>28</v>
      </c>
      <c r="D211" s="26">
        <v>46134</v>
      </c>
      <c r="E211" s="8" t="s">
        <v>333</v>
      </c>
      <c r="F211" s="12" t="s">
        <v>60</v>
      </c>
      <c r="G211" s="8" t="s">
        <v>872</v>
      </c>
      <c r="H211" s="8" t="s">
        <v>873</v>
      </c>
      <c r="I211" s="8" t="s">
        <v>864</v>
      </c>
      <c r="J211" s="8" t="s">
        <v>29</v>
      </c>
      <c r="K211" s="8" t="s">
        <v>84</v>
      </c>
      <c r="L211" s="8" t="s">
        <v>865</v>
      </c>
      <c r="M211" s="8" t="s">
        <v>107</v>
      </c>
      <c r="N211" s="8" t="s">
        <v>37</v>
      </c>
      <c r="O211" s="31">
        <v>46134.263888888891</v>
      </c>
      <c r="P211" s="31">
        <v>46134.273611111108</v>
      </c>
      <c r="Q211" s="14">
        <f t="shared" si="0"/>
        <v>13.999999993247911</v>
      </c>
      <c r="R211" s="31">
        <v>46134.298611111109</v>
      </c>
      <c r="S211" s="31">
        <v>46134.320104166669</v>
      </c>
      <c r="T211" s="14">
        <f t="shared" si="1"/>
        <v>30.950000005541369</v>
      </c>
      <c r="U211" s="14">
        <f t="shared" si="2"/>
        <v>80.950000000884756</v>
      </c>
      <c r="V211" s="12" t="s">
        <v>874</v>
      </c>
      <c r="W211" s="15" t="s">
        <v>39</v>
      </c>
      <c r="X211" s="8" t="s">
        <v>66</v>
      </c>
      <c r="Y211" s="8" t="s">
        <v>67</v>
      </c>
      <c r="Z211" s="8" t="s">
        <v>67</v>
      </c>
      <c r="AA211" s="8" t="s">
        <v>518</v>
      </c>
      <c r="AB211" s="28" t="s">
        <v>672</v>
      </c>
    </row>
    <row r="212" spans="1:28" ht="28.5" x14ac:dyDescent="0.2">
      <c r="A212" s="8">
        <v>208</v>
      </c>
      <c r="B212" s="15" t="s">
        <v>875</v>
      </c>
      <c r="C212" s="15" t="s">
        <v>28</v>
      </c>
      <c r="D212" s="26">
        <v>46134</v>
      </c>
      <c r="E212" s="8" t="s">
        <v>333</v>
      </c>
      <c r="F212" s="12" t="s">
        <v>184</v>
      </c>
      <c r="G212" s="12" t="s">
        <v>55</v>
      </c>
      <c r="H212" s="12" t="s">
        <v>868</v>
      </c>
      <c r="I212" s="8" t="s">
        <v>876</v>
      </c>
      <c r="J212" s="8" t="s">
        <v>29</v>
      </c>
      <c r="K212" s="8"/>
      <c r="L212" s="8" t="s">
        <v>877</v>
      </c>
      <c r="M212" s="8" t="s">
        <v>107</v>
      </c>
      <c r="N212" s="8" t="s">
        <v>37</v>
      </c>
      <c r="O212" s="31">
        <v>46134.553043981483</v>
      </c>
      <c r="P212" s="31">
        <v>46134.554050925923</v>
      </c>
      <c r="Q212" s="14">
        <f t="shared" si="0"/>
        <v>1.4499999932013452</v>
      </c>
      <c r="R212" s="31">
        <v>46134.554050925923</v>
      </c>
      <c r="S212" s="31">
        <v>46134.555462962962</v>
      </c>
      <c r="T212" s="14">
        <f t="shared" si="1"/>
        <v>2.0333333371672779</v>
      </c>
      <c r="U212" s="14">
        <f t="shared" si="2"/>
        <v>3.4833333303686231</v>
      </c>
      <c r="V212" s="12" t="s">
        <v>866</v>
      </c>
      <c r="W212" s="15" t="s">
        <v>39</v>
      </c>
      <c r="X212" s="10" t="s">
        <v>40</v>
      </c>
      <c r="Y212" s="10" t="s">
        <v>41</v>
      </c>
      <c r="Z212" s="15" t="s">
        <v>769</v>
      </c>
      <c r="AA212" s="8" t="s">
        <v>318</v>
      </c>
      <c r="AB212" s="28" t="s">
        <v>29</v>
      </c>
    </row>
    <row r="213" spans="1:28" ht="14.25" x14ac:dyDescent="0.2">
      <c r="A213" s="8">
        <v>209</v>
      </c>
      <c r="B213" s="15" t="s">
        <v>878</v>
      </c>
      <c r="C213" s="15" t="s">
        <v>28</v>
      </c>
      <c r="D213" s="26">
        <v>46134</v>
      </c>
      <c r="E213" s="8" t="s">
        <v>290</v>
      </c>
      <c r="F213" s="12" t="s">
        <v>60</v>
      </c>
      <c r="G213" s="8" t="s">
        <v>857</v>
      </c>
      <c r="H213" s="8" t="s">
        <v>879</v>
      </c>
      <c r="I213" s="8" t="s">
        <v>880</v>
      </c>
      <c r="J213" s="8"/>
      <c r="K213" s="8"/>
      <c r="L213" s="8" t="s">
        <v>881</v>
      </c>
      <c r="M213" s="8" t="s">
        <v>36</v>
      </c>
      <c r="N213" s="8" t="s">
        <v>37</v>
      </c>
      <c r="O213" s="31">
        <v>46134.929432870369</v>
      </c>
      <c r="P213" s="31">
        <v>46134.930821759262</v>
      </c>
      <c r="Q213" s="14">
        <f t="shared" si="0"/>
        <v>2.000000006519258</v>
      </c>
      <c r="R213" s="31">
        <v>46134.948182870372</v>
      </c>
      <c r="S213" s="31">
        <v>46134.950960648152</v>
      </c>
      <c r="T213" s="14">
        <f t="shared" si="1"/>
        <v>4.0000000025611371</v>
      </c>
      <c r="U213" s="14">
        <f t="shared" si="2"/>
        <v>31.000000006752089</v>
      </c>
      <c r="V213" s="28" t="s">
        <v>882</v>
      </c>
      <c r="W213" s="15" t="s">
        <v>39</v>
      </c>
      <c r="X213" s="10" t="s">
        <v>40</v>
      </c>
      <c r="Y213" s="10" t="s">
        <v>373</v>
      </c>
      <c r="Z213" s="10" t="s">
        <v>883</v>
      </c>
      <c r="AA213" s="8" t="s">
        <v>518</v>
      </c>
      <c r="AB213" s="28" t="s">
        <v>884</v>
      </c>
    </row>
    <row r="214" spans="1:28" ht="14.25" x14ac:dyDescent="0.2">
      <c r="A214" s="8">
        <v>210</v>
      </c>
      <c r="B214" s="15" t="s">
        <v>885</v>
      </c>
      <c r="C214" s="15" t="s">
        <v>28</v>
      </c>
      <c r="D214" s="26">
        <v>46135</v>
      </c>
      <c r="E214" s="8" t="s">
        <v>265</v>
      </c>
      <c r="F214" s="12" t="s">
        <v>736</v>
      </c>
      <c r="G214" s="8" t="s">
        <v>803</v>
      </c>
      <c r="H214" s="8" t="s">
        <v>886</v>
      </c>
      <c r="I214" s="8" t="s">
        <v>414</v>
      </c>
      <c r="J214" s="8" t="s">
        <v>29</v>
      </c>
      <c r="K214" s="8" t="s">
        <v>29</v>
      </c>
      <c r="L214" s="8" t="s">
        <v>887</v>
      </c>
      <c r="M214" s="8" t="s">
        <v>36</v>
      </c>
      <c r="N214" s="8" t="s">
        <v>37</v>
      </c>
      <c r="O214" s="31">
        <v>46135.908599537041</v>
      </c>
      <c r="P214" s="31">
        <v>46135.912766203706</v>
      </c>
      <c r="Q214" s="14">
        <f t="shared" si="0"/>
        <v>5.9999999986030161</v>
      </c>
      <c r="R214" s="31">
        <v>46135.912766203706</v>
      </c>
      <c r="S214" s="31">
        <v>46135.947488425925</v>
      </c>
      <c r="T214" s="14">
        <f t="shared" si="1"/>
        <v>49.999999995343387</v>
      </c>
      <c r="U214" s="14">
        <f t="shared" si="2"/>
        <v>55.999999993946403</v>
      </c>
      <c r="V214" s="28" t="s">
        <v>888</v>
      </c>
      <c r="W214" s="15" t="s">
        <v>39</v>
      </c>
      <c r="X214" s="8" t="s">
        <v>66</v>
      </c>
      <c r="Y214" s="8" t="s">
        <v>67</v>
      </c>
      <c r="Z214" s="8" t="s">
        <v>67</v>
      </c>
      <c r="AA214" s="8" t="s">
        <v>518</v>
      </c>
      <c r="AB214" s="28" t="s">
        <v>889</v>
      </c>
    </row>
    <row r="215" spans="1:28" ht="28.5" x14ac:dyDescent="0.2">
      <c r="A215" s="8">
        <v>211</v>
      </c>
      <c r="B215" s="15" t="s">
        <v>890</v>
      </c>
      <c r="C215" s="15" t="s">
        <v>28</v>
      </c>
      <c r="D215" s="26">
        <v>46137</v>
      </c>
      <c r="E215" s="8" t="s">
        <v>333</v>
      </c>
      <c r="F215" s="12" t="s">
        <v>184</v>
      </c>
      <c r="G215" s="8" t="s">
        <v>55</v>
      </c>
      <c r="H215" s="12" t="s">
        <v>717</v>
      </c>
      <c r="I215" s="8" t="s">
        <v>363</v>
      </c>
      <c r="J215" s="8"/>
      <c r="K215" s="8" t="s">
        <v>364</v>
      </c>
      <c r="L215" s="8" t="s">
        <v>365</v>
      </c>
      <c r="M215" s="8" t="s">
        <v>107</v>
      </c>
      <c r="N215" s="8" t="s">
        <v>37</v>
      </c>
      <c r="O215" s="31">
        <v>46137.350219907406</v>
      </c>
      <c r="P215" s="31">
        <v>46137.350914351853</v>
      </c>
      <c r="Q215" s="14">
        <f t="shared" si="0"/>
        <v>1.000000003259629</v>
      </c>
      <c r="R215" s="31">
        <v>46137.350914351853</v>
      </c>
      <c r="S215" s="31">
        <v>46137.35229166667</v>
      </c>
      <c r="T215" s="14">
        <f t="shared" si="1"/>
        <v>1.9833333359565586</v>
      </c>
      <c r="U215" s="14">
        <f t="shared" si="2"/>
        <v>2.9833333392161876</v>
      </c>
      <c r="V215" s="12" t="s">
        <v>866</v>
      </c>
      <c r="W215" s="15" t="s">
        <v>39</v>
      </c>
      <c r="X215" s="10" t="s">
        <v>40</v>
      </c>
      <c r="Y215" s="10" t="s">
        <v>41</v>
      </c>
      <c r="Z215" s="15" t="s">
        <v>42</v>
      </c>
      <c r="AA215" s="8" t="s">
        <v>318</v>
      </c>
      <c r="AB215" s="28" t="s">
        <v>29</v>
      </c>
    </row>
    <row r="216" spans="1:28" ht="14.25" x14ac:dyDescent="0.2">
      <c r="A216" s="8">
        <v>212</v>
      </c>
      <c r="B216" s="15" t="s">
        <v>891</v>
      </c>
      <c r="C216" s="15" t="s">
        <v>28</v>
      </c>
      <c r="D216" s="26">
        <v>46137</v>
      </c>
      <c r="E216" s="8" t="s">
        <v>333</v>
      </c>
      <c r="F216" s="12" t="s">
        <v>892</v>
      </c>
      <c r="G216" s="8" t="s">
        <v>857</v>
      </c>
      <c r="H216" s="12" t="s">
        <v>893</v>
      </c>
      <c r="I216" s="8" t="s">
        <v>287</v>
      </c>
      <c r="J216" s="8" t="s">
        <v>29</v>
      </c>
      <c r="K216" s="8"/>
      <c r="L216" s="8" t="s">
        <v>894</v>
      </c>
      <c r="M216" s="8" t="s">
        <v>36</v>
      </c>
      <c r="N216" s="8" t="s">
        <v>37</v>
      </c>
      <c r="O216" s="31">
        <v>46137.547812500001</v>
      </c>
      <c r="P216" s="31">
        <v>46137.549895833334</v>
      </c>
      <c r="Q216" s="14">
        <f t="shared" si="0"/>
        <v>2.9999999993015081</v>
      </c>
      <c r="R216" s="31">
        <v>46137.581736111111</v>
      </c>
      <c r="S216" s="34">
        <v>46137.677199074074</v>
      </c>
      <c r="T216" s="14">
        <f t="shared" si="1"/>
        <v>137.46666666702367</v>
      </c>
      <c r="U216" s="14">
        <f t="shared" si="2"/>
        <v>186.31666666595265</v>
      </c>
      <c r="V216" s="12" t="s">
        <v>895</v>
      </c>
      <c r="W216" s="15" t="s">
        <v>39</v>
      </c>
      <c r="X216" s="8" t="s">
        <v>66</v>
      </c>
      <c r="Y216" s="8" t="s">
        <v>67</v>
      </c>
      <c r="Z216" s="8" t="s">
        <v>67</v>
      </c>
      <c r="AA216" s="8" t="s">
        <v>518</v>
      </c>
      <c r="AB216" s="28" t="s">
        <v>850</v>
      </c>
    </row>
    <row r="217" spans="1:28" ht="42.75" x14ac:dyDescent="0.2">
      <c r="A217" s="35">
        <v>213</v>
      </c>
      <c r="B217" s="36" t="s">
        <v>896</v>
      </c>
      <c r="C217" s="36" t="s">
        <v>28</v>
      </c>
      <c r="D217" s="37">
        <v>46137</v>
      </c>
      <c r="E217" s="35" t="s">
        <v>333</v>
      </c>
      <c r="F217" s="38" t="s">
        <v>60</v>
      </c>
      <c r="G217" s="35" t="s">
        <v>872</v>
      </c>
      <c r="H217" s="38" t="s">
        <v>897</v>
      </c>
      <c r="I217" s="35" t="s">
        <v>898</v>
      </c>
      <c r="J217" s="35"/>
      <c r="K217" s="35"/>
      <c r="L217" s="35" t="s">
        <v>899</v>
      </c>
      <c r="M217" s="35" t="s">
        <v>107</v>
      </c>
      <c r="N217" s="35" t="s">
        <v>37</v>
      </c>
      <c r="O217" s="39">
        <v>46137.546597222223</v>
      </c>
      <c r="P217" s="39">
        <v>46137.55059027778</v>
      </c>
      <c r="Q217" s="14">
        <f t="shared" si="0"/>
        <v>5.7500000030267984</v>
      </c>
      <c r="R217" s="39">
        <v>46137.605914351851</v>
      </c>
      <c r="S217" s="39">
        <v>46140.001168981478</v>
      </c>
      <c r="T217" s="14">
        <f t="shared" si="1"/>
        <v>3449.1666666639503</v>
      </c>
      <c r="U217" s="14">
        <f t="shared" si="2"/>
        <v>3534.5833333279006</v>
      </c>
      <c r="V217" s="38" t="s">
        <v>900</v>
      </c>
      <c r="W217" s="36" t="s">
        <v>39</v>
      </c>
      <c r="X217" s="35" t="s">
        <v>40</v>
      </c>
      <c r="Y217" s="35" t="s">
        <v>41</v>
      </c>
      <c r="Z217" s="36" t="s">
        <v>901</v>
      </c>
      <c r="AA217" s="35" t="s">
        <v>518</v>
      </c>
      <c r="AB217" s="40" t="s">
        <v>672</v>
      </c>
    </row>
    <row r="218" spans="1:28" ht="14.25" x14ac:dyDescent="0.2">
      <c r="A218" s="8">
        <v>214</v>
      </c>
      <c r="B218" s="15" t="s">
        <v>902</v>
      </c>
      <c r="C218" s="15" t="s">
        <v>28</v>
      </c>
      <c r="D218" s="26">
        <v>46137</v>
      </c>
      <c r="E218" s="8" t="s">
        <v>290</v>
      </c>
      <c r="F218" s="12" t="s">
        <v>60</v>
      </c>
      <c r="G218" s="8" t="s">
        <v>857</v>
      </c>
      <c r="H218" s="8" t="s">
        <v>903</v>
      </c>
      <c r="I218" s="8" t="s">
        <v>904</v>
      </c>
      <c r="J218" s="8"/>
      <c r="K218" s="8"/>
      <c r="L218" s="8" t="s">
        <v>905</v>
      </c>
      <c r="M218" s="8" t="s">
        <v>36</v>
      </c>
      <c r="N218" s="8" t="s">
        <v>37</v>
      </c>
      <c r="O218" s="31">
        <v>46137.711354166669</v>
      </c>
      <c r="P218" s="31">
        <v>46137.713437500002</v>
      </c>
      <c r="Q218" s="14">
        <f t="shared" si="0"/>
        <v>2.9999999993015081</v>
      </c>
      <c r="R218" s="31">
        <v>46137.713437500002</v>
      </c>
      <c r="S218" s="34">
        <v>46137.715381944443</v>
      </c>
      <c r="T218" s="14">
        <f t="shared" si="1"/>
        <v>2.7999999944586307</v>
      </c>
      <c r="U218" s="14">
        <f t="shared" si="2"/>
        <v>5.7999999937601388</v>
      </c>
      <c r="V218" s="28" t="s">
        <v>906</v>
      </c>
      <c r="W218" s="15" t="s">
        <v>39</v>
      </c>
      <c r="X218" s="10" t="s">
        <v>40</v>
      </c>
      <c r="Y218" s="10" t="s">
        <v>41</v>
      </c>
      <c r="Z218" s="8" t="s">
        <v>907</v>
      </c>
      <c r="AA218" s="8" t="s">
        <v>518</v>
      </c>
      <c r="AB218" s="28" t="s">
        <v>29</v>
      </c>
    </row>
    <row r="219" spans="1:28" ht="28.5" x14ac:dyDescent="0.2">
      <c r="A219" s="8">
        <v>215</v>
      </c>
      <c r="B219" s="15" t="s">
        <v>908</v>
      </c>
      <c r="C219" s="15" t="s">
        <v>28</v>
      </c>
      <c r="D219" s="26">
        <v>46137</v>
      </c>
      <c r="E219" s="8" t="s">
        <v>290</v>
      </c>
      <c r="F219" s="12" t="s">
        <v>184</v>
      </c>
      <c r="G219" s="12" t="s">
        <v>55</v>
      </c>
      <c r="H219" s="12" t="s">
        <v>863</v>
      </c>
      <c r="I219" s="8" t="s">
        <v>909</v>
      </c>
      <c r="J219" s="8"/>
      <c r="K219" s="8"/>
      <c r="L219" s="8" t="s">
        <v>910</v>
      </c>
      <c r="M219" s="8" t="s">
        <v>36</v>
      </c>
      <c r="N219" s="8" t="s">
        <v>37</v>
      </c>
      <c r="O219" s="31">
        <v>46137.778726851851</v>
      </c>
      <c r="P219" s="31">
        <v>46137.780497685184</v>
      </c>
      <c r="Q219" s="14">
        <f t="shared" si="0"/>
        <v>2.5499999988824129</v>
      </c>
      <c r="R219" s="31">
        <v>46137.780497685184</v>
      </c>
      <c r="S219" s="34">
        <v>46137.782858796294</v>
      </c>
      <c r="T219" s="14">
        <f t="shared" si="1"/>
        <v>3.3999999985098839</v>
      </c>
      <c r="U219" s="14">
        <f t="shared" si="2"/>
        <v>5.9499999973922968</v>
      </c>
      <c r="V219" s="12" t="s">
        <v>866</v>
      </c>
      <c r="W219" s="15" t="s">
        <v>39</v>
      </c>
      <c r="X219" s="10" t="s">
        <v>40</v>
      </c>
      <c r="Y219" s="10" t="s">
        <v>41</v>
      </c>
      <c r="Z219" s="15" t="s">
        <v>42</v>
      </c>
      <c r="AA219" s="8" t="s">
        <v>318</v>
      </c>
      <c r="AB219" s="28" t="s">
        <v>29</v>
      </c>
    </row>
    <row r="220" spans="1:28" ht="14.25" x14ac:dyDescent="0.2">
      <c r="A220" s="8">
        <v>216</v>
      </c>
      <c r="B220" s="15" t="s">
        <v>911</v>
      </c>
      <c r="C220" s="15" t="s">
        <v>28</v>
      </c>
      <c r="D220" s="26">
        <v>46138</v>
      </c>
      <c r="E220" s="8" t="s">
        <v>290</v>
      </c>
      <c r="F220" s="12" t="s">
        <v>60</v>
      </c>
      <c r="G220" s="8" t="s">
        <v>857</v>
      </c>
      <c r="H220" s="12" t="s">
        <v>893</v>
      </c>
      <c r="I220" s="8" t="s">
        <v>203</v>
      </c>
      <c r="J220" s="8"/>
      <c r="K220" s="8"/>
      <c r="L220" s="8" t="s">
        <v>859</v>
      </c>
      <c r="M220" s="8" t="s">
        <v>36</v>
      </c>
      <c r="N220" s="8" t="s">
        <v>37</v>
      </c>
      <c r="O220" s="31">
        <v>46138.334328703706</v>
      </c>
      <c r="P220" s="31">
        <v>46138.336319444446</v>
      </c>
      <c r="Q220" s="14">
        <f t="shared" si="0"/>
        <v>2.8666666662320495</v>
      </c>
      <c r="R220" s="31">
        <v>46138.368125000001</v>
      </c>
      <c r="S220" s="31">
        <v>46138.424664351849</v>
      </c>
      <c r="T220" s="14">
        <f t="shared" si="1"/>
        <v>81.416666661389172</v>
      </c>
      <c r="U220" s="14">
        <f t="shared" si="2"/>
        <v>130.08333332603797</v>
      </c>
      <c r="V220" s="28" t="s">
        <v>912</v>
      </c>
      <c r="W220" s="15" t="s">
        <v>39</v>
      </c>
      <c r="X220" s="10" t="s">
        <v>40</v>
      </c>
      <c r="Y220" s="10" t="s">
        <v>41</v>
      </c>
      <c r="Z220" s="15" t="s">
        <v>42</v>
      </c>
      <c r="AA220" s="8" t="s">
        <v>518</v>
      </c>
      <c r="AB220" s="28" t="s">
        <v>650</v>
      </c>
    </row>
    <row r="221" spans="1:28" ht="28.5" x14ac:dyDescent="0.2">
      <c r="A221" s="8">
        <v>217</v>
      </c>
      <c r="B221" s="15" t="s">
        <v>913</v>
      </c>
      <c r="C221" s="15" t="s">
        <v>28</v>
      </c>
      <c r="D221" s="26">
        <v>46138</v>
      </c>
      <c r="E221" s="8" t="s">
        <v>290</v>
      </c>
      <c r="F221" s="12" t="s">
        <v>184</v>
      </c>
      <c r="G221" s="12" t="s">
        <v>55</v>
      </c>
      <c r="H221" s="12" t="s">
        <v>868</v>
      </c>
      <c r="I221" s="8" t="s">
        <v>914</v>
      </c>
      <c r="J221" s="8"/>
      <c r="K221" s="8"/>
      <c r="L221" s="8" t="s">
        <v>915</v>
      </c>
      <c r="M221" s="8" t="s">
        <v>36</v>
      </c>
      <c r="N221" s="8" t="s">
        <v>37</v>
      </c>
      <c r="O221" s="31">
        <v>46138.522800925923</v>
      </c>
      <c r="P221" s="31">
        <v>46138.52443287037</v>
      </c>
      <c r="Q221" s="14">
        <f t="shared" si="0"/>
        <v>2.3500000045169145</v>
      </c>
      <c r="R221" s="31">
        <v>46138.52443287037</v>
      </c>
      <c r="S221" s="31">
        <v>46138.526296296295</v>
      </c>
      <c r="T221" s="14">
        <f t="shared" si="1"/>
        <v>2.6833333319518715</v>
      </c>
      <c r="U221" s="14">
        <f t="shared" si="2"/>
        <v>5.033333336468786</v>
      </c>
      <c r="V221" s="12" t="s">
        <v>866</v>
      </c>
      <c r="W221" s="15" t="s">
        <v>39</v>
      </c>
      <c r="X221" s="10" t="s">
        <v>40</v>
      </c>
      <c r="Y221" s="10" t="s">
        <v>41</v>
      </c>
      <c r="Z221" s="15" t="s">
        <v>42</v>
      </c>
      <c r="AA221" s="8" t="s">
        <v>318</v>
      </c>
      <c r="AB221" s="28" t="s">
        <v>29</v>
      </c>
    </row>
    <row r="222" spans="1:28" ht="14.25" x14ac:dyDescent="0.2">
      <c r="A222" s="8">
        <v>218</v>
      </c>
      <c r="B222" s="15" t="s">
        <v>916</v>
      </c>
      <c r="C222" s="15" t="s">
        <v>28</v>
      </c>
      <c r="D222" s="26">
        <v>46138</v>
      </c>
      <c r="E222" s="8" t="s">
        <v>290</v>
      </c>
      <c r="F222" s="12" t="s">
        <v>60</v>
      </c>
      <c r="G222" s="8" t="s">
        <v>857</v>
      </c>
      <c r="H222" s="12" t="s">
        <v>868</v>
      </c>
      <c r="I222" s="8" t="s">
        <v>287</v>
      </c>
      <c r="J222" s="8"/>
      <c r="K222" s="8"/>
      <c r="L222" s="8" t="s">
        <v>917</v>
      </c>
      <c r="M222" s="8" t="s">
        <v>36</v>
      </c>
      <c r="N222" s="8" t="s">
        <v>37</v>
      </c>
      <c r="O222" s="31">
        <v>46138.52584490741</v>
      </c>
      <c r="P222" s="31">
        <v>46138.528993055559</v>
      </c>
      <c r="Q222" s="14">
        <f t="shared" si="0"/>
        <v>4.5333333348389715</v>
      </c>
      <c r="R222" s="31">
        <v>46138.528993055559</v>
      </c>
      <c r="S222" s="31">
        <v>46138.534143518518</v>
      </c>
      <c r="T222" s="14">
        <f t="shared" si="1"/>
        <v>7.4166666611563414</v>
      </c>
      <c r="U222" s="14">
        <f t="shared" si="2"/>
        <v>11.949999995995313</v>
      </c>
      <c r="V222" s="12" t="s">
        <v>866</v>
      </c>
      <c r="W222" s="15" t="s">
        <v>39</v>
      </c>
      <c r="X222" s="10" t="s">
        <v>40</v>
      </c>
      <c r="Y222" s="10" t="s">
        <v>41</v>
      </c>
      <c r="Z222" s="15" t="s">
        <v>42</v>
      </c>
      <c r="AA222" s="8" t="s">
        <v>518</v>
      </c>
      <c r="AB222" s="28" t="s">
        <v>29</v>
      </c>
    </row>
    <row r="223" spans="1:28" ht="28.5" x14ac:dyDescent="0.2">
      <c r="A223" s="8">
        <v>219</v>
      </c>
      <c r="B223" s="15" t="s">
        <v>918</v>
      </c>
      <c r="C223" s="15" t="s">
        <v>28</v>
      </c>
      <c r="D223" s="26">
        <v>46138</v>
      </c>
      <c r="E223" s="8" t="s">
        <v>265</v>
      </c>
      <c r="F223" s="12" t="s">
        <v>184</v>
      </c>
      <c r="G223" s="12" t="s">
        <v>55</v>
      </c>
      <c r="H223" s="8" t="s">
        <v>919</v>
      </c>
      <c r="I223" s="8" t="s">
        <v>33</v>
      </c>
      <c r="J223" s="8"/>
      <c r="K223" s="8"/>
      <c r="L223" s="8" t="s">
        <v>920</v>
      </c>
      <c r="M223" s="8" t="s">
        <v>36</v>
      </c>
      <c r="N223" s="8" t="s">
        <v>37</v>
      </c>
      <c r="O223" s="31">
        <v>46138.976458333331</v>
      </c>
      <c r="P223" s="31">
        <v>46138.977083333331</v>
      </c>
      <c r="Q223" s="14">
        <f t="shared" si="0"/>
        <v>0.90000000083819032</v>
      </c>
      <c r="R223" s="31">
        <v>46138.977083333331</v>
      </c>
      <c r="S223" s="31">
        <v>46139.020844907405</v>
      </c>
      <c r="T223" s="14">
        <f t="shared" si="1"/>
        <v>63.016666666371748</v>
      </c>
      <c r="U223" s="14">
        <f t="shared" si="2"/>
        <v>63.916666667209938</v>
      </c>
      <c r="V223" s="28" t="s">
        <v>921</v>
      </c>
      <c r="W223" s="15" t="s">
        <v>39</v>
      </c>
      <c r="X223" s="8" t="s">
        <v>66</v>
      </c>
      <c r="Y223" s="8" t="s">
        <v>67</v>
      </c>
      <c r="Z223" s="8" t="s">
        <v>67</v>
      </c>
      <c r="AA223" s="8" t="s">
        <v>518</v>
      </c>
      <c r="AB223" s="28" t="s">
        <v>922</v>
      </c>
    </row>
    <row r="224" spans="1:28" ht="14.25" x14ac:dyDescent="0.2">
      <c r="A224" s="8">
        <v>220</v>
      </c>
      <c r="B224" s="15" t="s">
        <v>923</v>
      </c>
      <c r="C224" s="15" t="s">
        <v>28</v>
      </c>
      <c r="D224" s="26">
        <v>46139</v>
      </c>
      <c r="E224" s="8" t="s">
        <v>265</v>
      </c>
      <c r="F224" s="12" t="s">
        <v>60</v>
      </c>
      <c r="G224" s="8" t="s">
        <v>857</v>
      </c>
      <c r="H224" s="8" t="s">
        <v>924</v>
      </c>
      <c r="I224" s="8" t="s">
        <v>925</v>
      </c>
      <c r="J224" s="8"/>
      <c r="K224" s="8"/>
      <c r="L224" s="8" t="s">
        <v>926</v>
      </c>
      <c r="M224" s="8" t="s">
        <v>107</v>
      </c>
      <c r="N224" s="8" t="s">
        <v>37</v>
      </c>
      <c r="O224" s="31">
        <v>46139.013310185182</v>
      </c>
      <c r="P224" s="31">
        <v>46139.015972222223</v>
      </c>
      <c r="Q224" s="14">
        <f t="shared" si="0"/>
        <v>3.8333333388436586</v>
      </c>
      <c r="R224" s="31">
        <v>46139.054166666669</v>
      </c>
      <c r="S224" s="31">
        <v>46139.095138888886</v>
      </c>
      <c r="T224" s="14">
        <f t="shared" si="1"/>
        <v>58.999999993247911</v>
      </c>
      <c r="U224" s="14">
        <f t="shared" si="2"/>
        <v>117.83333333325572</v>
      </c>
      <c r="V224" s="28" t="s">
        <v>927</v>
      </c>
      <c r="W224" s="15" t="s">
        <v>39</v>
      </c>
      <c r="X224" s="10" t="s">
        <v>40</v>
      </c>
      <c r="Y224" s="10" t="s">
        <v>41</v>
      </c>
      <c r="Z224" s="15" t="s">
        <v>928</v>
      </c>
      <c r="AA224" s="8" t="s">
        <v>518</v>
      </c>
      <c r="AB224" s="28" t="s">
        <v>929</v>
      </c>
    </row>
    <row r="225" spans="1:28" ht="28.5" x14ac:dyDescent="0.2">
      <c r="A225" s="8">
        <v>221</v>
      </c>
      <c r="B225" s="15" t="s">
        <v>930</v>
      </c>
      <c r="C225" s="15" t="s">
        <v>28</v>
      </c>
      <c r="D225" s="26">
        <v>46139</v>
      </c>
      <c r="E225" s="8" t="s">
        <v>290</v>
      </c>
      <c r="F225" s="12" t="s">
        <v>184</v>
      </c>
      <c r="G225" s="12" t="s">
        <v>55</v>
      </c>
      <c r="H225" s="12" t="s">
        <v>868</v>
      </c>
      <c r="I225" s="8" t="s">
        <v>287</v>
      </c>
      <c r="J225" s="8"/>
      <c r="K225" s="8"/>
      <c r="L225" s="8" t="s">
        <v>917</v>
      </c>
      <c r="M225" s="8" t="s">
        <v>36</v>
      </c>
      <c r="N225" s="8" t="s">
        <v>37</v>
      </c>
      <c r="O225" s="31">
        <v>46139.298020833332</v>
      </c>
      <c r="P225" s="31">
        <v>46139.299826388888</v>
      </c>
      <c r="Q225" s="14">
        <f t="shared" si="0"/>
        <v>2.6000000000931323</v>
      </c>
      <c r="R225" s="31">
        <v>46139.299826388888</v>
      </c>
      <c r="S225" s="31">
        <v>46139.301574074074</v>
      </c>
      <c r="T225" s="14">
        <f t="shared" si="1"/>
        <v>2.516666668234393</v>
      </c>
      <c r="U225" s="14">
        <f t="shared" si="2"/>
        <v>5.1166666683275253</v>
      </c>
      <c r="V225" s="12" t="s">
        <v>866</v>
      </c>
      <c r="W225" s="15" t="s">
        <v>39</v>
      </c>
      <c r="X225" s="10" t="s">
        <v>40</v>
      </c>
      <c r="Y225" s="10" t="s">
        <v>41</v>
      </c>
      <c r="Z225" s="15" t="s">
        <v>42</v>
      </c>
      <c r="AA225" s="8" t="s">
        <v>318</v>
      </c>
      <c r="AB225" s="28" t="s">
        <v>29</v>
      </c>
    </row>
    <row r="226" spans="1:28" ht="25.5" x14ac:dyDescent="0.2">
      <c r="A226" s="8">
        <v>222</v>
      </c>
      <c r="B226" s="15" t="s">
        <v>931</v>
      </c>
      <c r="C226" s="15" t="s">
        <v>28</v>
      </c>
      <c r="D226" s="26">
        <v>46139</v>
      </c>
      <c r="E226" s="8" t="s">
        <v>290</v>
      </c>
      <c r="F226" s="12" t="s">
        <v>794</v>
      </c>
      <c r="G226" s="8" t="s">
        <v>760</v>
      </c>
      <c r="H226" s="8" t="s">
        <v>932</v>
      </c>
      <c r="I226" s="8" t="s">
        <v>933</v>
      </c>
      <c r="J226" s="8"/>
      <c r="K226" s="8"/>
      <c r="L226" s="8" t="s">
        <v>934</v>
      </c>
      <c r="M226" s="8" t="s">
        <v>36</v>
      </c>
      <c r="N226" s="8" t="s">
        <v>37</v>
      </c>
      <c r="O226" s="31">
        <v>46139.528483796297</v>
      </c>
      <c r="P226" s="31">
        <v>46139.534884259258</v>
      </c>
      <c r="Q226" s="14">
        <f t="shared" si="0"/>
        <v>9.2166666628327221</v>
      </c>
      <c r="R226" s="31">
        <v>46139.578032407408</v>
      </c>
      <c r="S226" s="31">
        <v>46139.583703703705</v>
      </c>
      <c r="T226" s="14">
        <f t="shared" si="1"/>
        <v>8.1666666688397527</v>
      </c>
      <c r="U226" s="14">
        <f t="shared" si="2"/>
        <v>79.516666667768732</v>
      </c>
      <c r="V226" s="29" t="s">
        <v>935</v>
      </c>
      <c r="W226" s="15" t="s">
        <v>39</v>
      </c>
      <c r="X226" s="8" t="s">
        <v>66</v>
      </c>
      <c r="Y226" s="8" t="s">
        <v>67</v>
      </c>
      <c r="Z226" s="8" t="s">
        <v>67</v>
      </c>
      <c r="AA226" s="8" t="s">
        <v>518</v>
      </c>
      <c r="AB226" s="28" t="s">
        <v>936</v>
      </c>
    </row>
    <row r="227" spans="1:28" ht="28.5" x14ac:dyDescent="0.2">
      <c r="A227" s="8">
        <v>223</v>
      </c>
      <c r="B227" s="15" t="s">
        <v>937</v>
      </c>
      <c r="C227" s="15" t="s">
        <v>28</v>
      </c>
      <c r="D227" s="26">
        <v>46139</v>
      </c>
      <c r="E227" s="8" t="s">
        <v>290</v>
      </c>
      <c r="F227" s="12" t="s">
        <v>184</v>
      </c>
      <c r="G227" s="12" t="s">
        <v>55</v>
      </c>
      <c r="H227" s="8" t="s">
        <v>938</v>
      </c>
      <c r="I227" s="8" t="s">
        <v>939</v>
      </c>
      <c r="J227" s="8"/>
      <c r="K227" s="8"/>
      <c r="L227" s="8" t="s">
        <v>934</v>
      </c>
      <c r="M227" s="8" t="s">
        <v>36</v>
      </c>
      <c r="N227" s="8" t="s">
        <v>37</v>
      </c>
      <c r="O227" s="31">
        <v>46139.588483796295</v>
      </c>
      <c r="P227" s="31">
        <v>46139.590787037036</v>
      </c>
      <c r="Q227" s="14">
        <f t="shared" si="0"/>
        <v>3.3166666666511446</v>
      </c>
      <c r="R227" s="31">
        <v>46139.589537037034</v>
      </c>
      <c r="S227" s="31">
        <v>46139.598564814813</v>
      </c>
      <c r="T227" s="14">
        <f t="shared" si="1"/>
        <v>13.000000000465661</v>
      </c>
      <c r="U227" s="14">
        <f t="shared" si="2"/>
        <v>14.516666665440425</v>
      </c>
      <c r="V227" s="28" t="s">
        <v>940</v>
      </c>
      <c r="W227" s="15" t="s">
        <v>39</v>
      </c>
      <c r="X227" s="8" t="s">
        <v>66</v>
      </c>
      <c r="Y227" s="8" t="s">
        <v>67</v>
      </c>
      <c r="Z227" s="8" t="s">
        <v>67</v>
      </c>
      <c r="AA227" s="8" t="s">
        <v>318</v>
      </c>
      <c r="AB227" s="28" t="s">
        <v>650</v>
      </c>
    </row>
    <row r="228" spans="1:28" ht="14.25" x14ac:dyDescent="0.2">
      <c r="A228" s="8">
        <v>224</v>
      </c>
      <c r="B228" s="15" t="s">
        <v>941</v>
      </c>
      <c r="C228" s="15" t="s">
        <v>28</v>
      </c>
      <c r="D228" s="26">
        <v>46139</v>
      </c>
      <c r="E228" s="8" t="s">
        <v>290</v>
      </c>
      <c r="F228" s="12" t="s">
        <v>794</v>
      </c>
      <c r="G228" s="8" t="s">
        <v>760</v>
      </c>
      <c r="H228" s="8" t="s">
        <v>932</v>
      </c>
      <c r="I228" s="8" t="s">
        <v>942</v>
      </c>
      <c r="J228" s="8"/>
      <c r="K228" s="8"/>
      <c r="L228" s="8" t="s">
        <v>714</v>
      </c>
      <c r="M228" s="8" t="s">
        <v>36</v>
      </c>
      <c r="N228" s="8" t="s">
        <v>37</v>
      </c>
      <c r="O228" s="31">
        <v>46139.59684027778</v>
      </c>
      <c r="P228" s="31">
        <v>46139.600810185184</v>
      </c>
      <c r="Q228" s="14">
        <f t="shared" si="0"/>
        <v>5.7166666619013995</v>
      </c>
      <c r="R228" s="31">
        <v>46139.61482638889</v>
      </c>
      <c r="S228" s="31">
        <v>46139.621365740742</v>
      </c>
      <c r="T228" s="14">
        <f t="shared" si="1"/>
        <v>9.4166666676755995</v>
      </c>
      <c r="U228" s="14">
        <f t="shared" si="2"/>
        <v>35.316666666185483</v>
      </c>
      <c r="V228" s="28" t="s">
        <v>943</v>
      </c>
      <c r="W228" s="15" t="s">
        <v>39</v>
      </c>
      <c r="X228" s="8" t="s">
        <v>66</v>
      </c>
      <c r="Y228" s="8" t="s">
        <v>67</v>
      </c>
      <c r="Z228" s="8" t="s">
        <v>67</v>
      </c>
      <c r="AA228" s="8" t="s">
        <v>518</v>
      </c>
      <c r="AB228" s="28" t="s">
        <v>936</v>
      </c>
    </row>
    <row r="229" spans="1:28" ht="38.25" x14ac:dyDescent="0.2">
      <c r="A229" s="8">
        <v>225</v>
      </c>
      <c r="B229" s="15" t="s">
        <v>944</v>
      </c>
      <c r="C229" s="15" t="s">
        <v>28</v>
      </c>
      <c r="D229" s="26">
        <v>46140</v>
      </c>
      <c r="E229" s="8" t="s">
        <v>290</v>
      </c>
      <c r="F229" s="12" t="s">
        <v>60</v>
      </c>
      <c r="G229" s="35" t="s">
        <v>872</v>
      </c>
      <c r="H229" s="8" t="s">
        <v>945</v>
      </c>
      <c r="I229" s="35" t="s">
        <v>946</v>
      </c>
      <c r="J229" s="8"/>
      <c r="K229" s="8"/>
      <c r="L229" s="8" t="s">
        <v>947</v>
      </c>
      <c r="M229" s="8" t="s">
        <v>107</v>
      </c>
      <c r="N229" s="8" t="s">
        <v>37</v>
      </c>
      <c r="O229" s="31">
        <v>46140.348738425928</v>
      </c>
      <c r="P229" s="31">
        <v>46140.35050925926</v>
      </c>
      <c r="Q229" s="14">
        <f t="shared" si="0"/>
        <v>2.5499999988824129</v>
      </c>
      <c r="R229" s="31">
        <v>46140.376516203702</v>
      </c>
      <c r="S229" s="31">
        <v>46140.929293981484</v>
      </c>
      <c r="T229" s="14">
        <f t="shared" si="1"/>
        <v>796.00000000675209</v>
      </c>
      <c r="U229" s="14">
        <f t="shared" si="2"/>
        <v>836.00000000093132</v>
      </c>
      <c r="V229" s="29" t="s">
        <v>948</v>
      </c>
      <c r="W229" s="15" t="s">
        <v>39</v>
      </c>
      <c r="X229" s="8" t="s">
        <v>66</v>
      </c>
      <c r="Y229" s="8" t="s">
        <v>67</v>
      </c>
      <c r="Z229" s="8" t="s">
        <v>67</v>
      </c>
      <c r="AA229" s="8" t="s">
        <v>518</v>
      </c>
      <c r="AB229" s="28" t="s">
        <v>546</v>
      </c>
    </row>
    <row r="230" spans="1:28" ht="14.25" x14ac:dyDescent="0.2">
      <c r="A230" s="8">
        <v>226</v>
      </c>
      <c r="B230" s="15" t="s">
        <v>949</v>
      </c>
      <c r="C230" s="15" t="s">
        <v>28</v>
      </c>
      <c r="D230" s="26">
        <v>46140</v>
      </c>
      <c r="E230" s="8" t="s">
        <v>290</v>
      </c>
      <c r="F230" s="12" t="s">
        <v>950</v>
      </c>
      <c r="G230" s="8" t="s">
        <v>760</v>
      </c>
      <c r="H230" s="8" t="s">
        <v>951</v>
      </c>
      <c r="I230" s="8" t="s">
        <v>952</v>
      </c>
      <c r="J230" s="8"/>
      <c r="K230" s="8"/>
      <c r="L230" s="8" t="s">
        <v>613</v>
      </c>
      <c r="M230" s="8" t="s">
        <v>107</v>
      </c>
      <c r="N230" s="8" t="s">
        <v>37</v>
      </c>
      <c r="O230" s="31">
        <v>46140.567569444444</v>
      </c>
      <c r="P230" s="31">
        <v>46140.571064814816</v>
      </c>
      <c r="Q230" s="14">
        <f t="shared" si="0"/>
        <v>5.033333336468786</v>
      </c>
      <c r="R230" s="31">
        <v>46140.625231481485</v>
      </c>
      <c r="S230" s="31">
        <v>46140.641180555554</v>
      </c>
      <c r="T230" s="14">
        <f t="shared" si="1"/>
        <v>22.966666660504416</v>
      </c>
      <c r="U230" s="14">
        <f t="shared" si="2"/>
        <v>105.99999999976717</v>
      </c>
      <c r="V230" s="28" t="s">
        <v>953</v>
      </c>
      <c r="W230" s="15" t="s">
        <v>39</v>
      </c>
      <c r="X230" s="10" t="s">
        <v>40</v>
      </c>
      <c r="Y230" s="10" t="s">
        <v>954</v>
      </c>
      <c r="Z230" s="8" t="s">
        <v>53</v>
      </c>
      <c r="AA230" s="8" t="s">
        <v>518</v>
      </c>
      <c r="AB230" s="28" t="s">
        <v>29</v>
      </c>
    </row>
    <row r="231" spans="1:28" ht="14.25" x14ac:dyDescent="0.2">
      <c r="A231" s="8">
        <v>227</v>
      </c>
      <c r="B231" s="15" t="s">
        <v>955</v>
      </c>
      <c r="C231" s="15" t="s">
        <v>28</v>
      </c>
      <c r="D231" s="26">
        <v>46140</v>
      </c>
      <c r="E231" s="8" t="s">
        <v>333</v>
      </c>
      <c r="F231" s="12" t="s">
        <v>736</v>
      </c>
      <c r="G231" s="8" t="s">
        <v>803</v>
      </c>
      <c r="H231" s="8" t="s">
        <v>956</v>
      </c>
      <c r="I231" s="8" t="s">
        <v>957</v>
      </c>
      <c r="J231" s="8"/>
      <c r="K231" s="8"/>
      <c r="L231" s="8" t="s">
        <v>958</v>
      </c>
      <c r="M231" s="8" t="s">
        <v>107</v>
      </c>
      <c r="N231" s="8" t="s">
        <v>37</v>
      </c>
      <c r="O231" s="31">
        <v>46140.634270833332</v>
      </c>
      <c r="P231" s="31">
        <v>46140.64329861111</v>
      </c>
      <c r="Q231" s="14">
        <f t="shared" si="0"/>
        <v>13.000000000465661</v>
      </c>
      <c r="R231" s="31">
        <v>46140.64329861111</v>
      </c>
      <c r="S231" s="31">
        <v>46140.652627314812</v>
      </c>
      <c r="T231" s="14">
        <f t="shared" si="1"/>
        <v>13.433333330322057</v>
      </c>
      <c r="U231" s="14">
        <f t="shared" si="2"/>
        <v>26.433333330787718</v>
      </c>
      <c r="V231" s="28" t="s">
        <v>959</v>
      </c>
      <c r="W231" s="15" t="s">
        <v>39</v>
      </c>
      <c r="X231" s="10" t="s">
        <v>40</v>
      </c>
      <c r="Y231" s="10" t="s">
        <v>41</v>
      </c>
      <c r="Z231" s="8" t="s">
        <v>960</v>
      </c>
      <c r="AA231" s="8" t="s">
        <v>518</v>
      </c>
      <c r="AB231" s="28" t="s">
        <v>29</v>
      </c>
    </row>
    <row r="232" spans="1:28" ht="28.5" x14ac:dyDescent="0.2">
      <c r="A232" s="8">
        <v>228</v>
      </c>
      <c r="B232" s="15" t="s">
        <v>961</v>
      </c>
      <c r="C232" s="15" t="s">
        <v>28</v>
      </c>
      <c r="D232" s="26">
        <v>46140</v>
      </c>
      <c r="E232" s="8" t="s">
        <v>333</v>
      </c>
      <c r="F232" s="12" t="s">
        <v>184</v>
      </c>
      <c r="G232" s="12" t="s">
        <v>55</v>
      </c>
      <c r="H232" s="8" t="s">
        <v>962</v>
      </c>
      <c r="I232" s="8" t="s">
        <v>282</v>
      </c>
      <c r="J232" s="8"/>
      <c r="K232" s="8" t="s">
        <v>963</v>
      </c>
      <c r="L232" s="8" t="s">
        <v>964</v>
      </c>
      <c r="M232" s="8" t="s">
        <v>107</v>
      </c>
      <c r="N232" s="8" t="s">
        <v>37</v>
      </c>
      <c r="O232" s="31">
        <v>46140.706365740742</v>
      </c>
      <c r="P232" s="31">
        <v>46140.710474537038</v>
      </c>
      <c r="Q232" s="14">
        <f t="shared" si="0"/>
        <v>5.9166666667442769</v>
      </c>
      <c r="R232" s="31">
        <v>46140.735474537039</v>
      </c>
      <c r="S232" s="31">
        <v>46140.75203703704</v>
      </c>
      <c r="T232" s="14">
        <f t="shared" si="1"/>
        <v>23.850000001257285</v>
      </c>
      <c r="U232" s="14">
        <f t="shared" si="2"/>
        <v>65.766666670097038</v>
      </c>
      <c r="V232" s="12" t="s">
        <v>965</v>
      </c>
      <c r="W232" s="15" t="s">
        <v>39</v>
      </c>
      <c r="X232" s="8" t="s">
        <v>66</v>
      </c>
      <c r="Y232" s="8" t="s">
        <v>67</v>
      </c>
      <c r="Z232" s="8" t="s">
        <v>67</v>
      </c>
      <c r="AA232" s="8" t="s">
        <v>318</v>
      </c>
      <c r="AB232" s="28" t="s">
        <v>548</v>
      </c>
    </row>
    <row r="233" spans="1:28" ht="28.5" x14ac:dyDescent="0.2">
      <c r="A233" s="8">
        <v>229</v>
      </c>
      <c r="B233" s="15" t="s">
        <v>966</v>
      </c>
      <c r="C233" s="15" t="s">
        <v>28</v>
      </c>
      <c r="D233" s="26">
        <v>46141</v>
      </c>
      <c r="E233" s="8" t="s">
        <v>333</v>
      </c>
      <c r="F233" s="12" t="s">
        <v>184</v>
      </c>
      <c r="G233" s="12" t="s">
        <v>55</v>
      </c>
      <c r="H233" s="12" t="s">
        <v>868</v>
      </c>
      <c r="I233" s="8" t="s">
        <v>363</v>
      </c>
      <c r="J233" s="8"/>
      <c r="K233" s="8" t="s">
        <v>364</v>
      </c>
      <c r="L233" s="8" t="s">
        <v>365</v>
      </c>
      <c r="M233" s="8" t="s">
        <v>107</v>
      </c>
      <c r="N233" s="8" t="s">
        <v>37</v>
      </c>
      <c r="O233" s="31">
        <v>46141.47210648148</v>
      </c>
      <c r="P233" s="31">
        <v>46141.475393518522</v>
      </c>
      <c r="Q233" s="14">
        <f t="shared" si="0"/>
        <v>4.7333333396818489</v>
      </c>
      <c r="R233" s="31">
        <v>46141.475393518522</v>
      </c>
      <c r="S233" s="31">
        <v>46141.483460648145</v>
      </c>
      <c r="T233" s="14">
        <f t="shared" si="1"/>
        <v>11.616666658082977</v>
      </c>
      <c r="U233" s="14">
        <f t="shared" si="2"/>
        <v>16.349999997764826</v>
      </c>
      <c r="V233" s="12" t="s">
        <v>866</v>
      </c>
      <c r="W233" s="15" t="s">
        <v>39</v>
      </c>
      <c r="X233" s="10" t="s">
        <v>40</v>
      </c>
      <c r="Y233" s="10" t="s">
        <v>41</v>
      </c>
      <c r="Z233" s="15" t="s">
        <v>42</v>
      </c>
      <c r="AA233" s="8" t="s">
        <v>318</v>
      </c>
      <c r="AB233" s="28" t="s">
        <v>29</v>
      </c>
    </row>
    <row r="234" spans="1:28" ht="14.25" x14ac:dyDescent="0.2">
      <c r="A234" s="8">
        <v>230</v>
      </c>
      <c r="B234" s="15" t="s">
        <v>967</v>
      </c>
      <c r="C234" s="15" t="s">
        <v>28</v>
      </c>
      <c r="D234" s="26">
        <v>46142</v>
      </c>
      <c r="E234" s="8" t="s">
        <v>254</v>
      </c>
      <c r="F234" s="12" t="s">
        <v>60</v>
      </c>
      <c r="G234" s="8" t="s">
        <v>857</v>
      </c>
      <c r="H234" s="12" t="s">
        <v>858</v>
      </c>
      <c r="I234" s="8" t="s">
        <v>234</v>
      </c>
      <c r="J234" s="8"/>
      <c r="K234" s="8"/>
      <c r="L234" s="8" t="s">
        <v>506</v>
      </c>
      <c r="M234" s="8" t="s">
        <v>36</v>
      </c>
      <c r="N234" s="8" t="s">
        <v>37</v>
      </c>
      <c r="O234" s="31">
        <v>46142.171342592592</v>
      </c>
      <c r="P234" s="31">
        <v>46142.179166666669</v>
      </c>
      <c r="Q234" s="14">
        <f t="shared" si="0"/>
        <v>11.266666670562699</v>
      </c>
      <c r="R234" s="31">
        <v>46142.179166666669</v>
      </c>
      <c r="S234" s="31">
        <v>46142.18849537037</v>
      </c>
      <c r="T234" s="14">
        <f t="shared" si="1"/>
        <v>13.433333330322057</v>
      </c>
      <c r="U234" s="14">
        <f t="shared" si="2"/>
        <v>24.700000000884756</v>
      </c>
      <c r="V234" s="12" t="s">
        <v>968</v>
      </c>
      <c r="W234" s="15" t="s">
        <v>39</v>
      </c>
      <c r="X234" s="8" t="s">
        <v>66</v>
      </c>
      <c r="Y234" s="8" t="s">
        <v>67</v>
      </c>
      <c r="Z234" s="8" t="s">
        <v>67</v>
      </c>
      <c r="AA234" s="8" t="s">
        <v>518</v>
      </c>
      <c r="AB234" s="28" t="s">
        <v>29</v>
      </c>
    </row>
    <row r="235" spans="1:28" ht="14.25" x14ac:dyDescent="0.2">
      <c r="A235" s="8">
        <v>231</v>
      </c>
      <c r="B235" s="15" t="s">
        <v>969</v>
      </c>
      <c r="C235" s="15" t="s">
        <v>28</v>
      </c>
      <c r="D235" s="26">
        <v>46143</v>
      </c>
      <c r="E235" s="8" t="s">
        <v>254</v>
      </c>
      <c r="F235" s="12" t="s">
        <v>60</v>
      </c>
      <c r="G235" s="8" t="s">
        <v>857</v>
      </c>
      <c r="H235" s="12" t="s">
        <v>858</v>
      </c>
      <c r="I235" s="8" t="s">
        <v>142</v>
      </c>
      <c r="J235" s="8"/>
      <c r="K235" s="8"/>
      <c r="L235" s="8" t="s">
        <v>970</v>
      </c>
      <c r="M235" s="8" t="s">
        <v>36</v>
      </c>
      <c r="N235" s="8" t="s">
        <v>37</v>
      </c>
      <c r="O235" s="31">
        <v>46143.19059027778</v>
      </c>
      <c r="P235" s="31">
        <v>46143.197222222225</v>
      </c>
      <c r="Q235" s="14">
        <f t="shared" si="0"/>
        <v>9.5500000007450581</v>
      </c>
      <c r="R235" s="31">
        <v>46143.197222222225</v>
      </c>
      <c r="S235" s="31">
        <v>46143.208032407405</v>
      </c>
      <c r="T235" s="14">
        <f t="shared" si="1"/>
        <v>15.566666659433395</v>
      </c>
      <c r="U235" s="14">
        <f t="shared" si="2"/>
        <v>25.116666660178453</v>
      </c>
      <c r="V235" s="12" t="s">
        <v>968</v>
      </c>
      <c r="W235" s="15" t="s">
        <v>39</v>
      </c>
      <c r="X235" s="8" t="s">
        <v>66</v>
      </c>
      <c r="Y235" s="8" t="s">
        <v>67</v>
      </c>
      <c r="Z235" s="8" t="s">
        <v>67</v>
      </c>
      <c r="AA235" s="8" t="s">
        <v>518</v>
      </c>
      <c r="AB235" s="28" t="s">
        <v>29</v>
      </c>
    </row>
    <row r="236" spans="1:28" ht="28.5" x14ac:dyDescent="0.2">
      <c r="A236" s="8">
        <v>232</v>
      </c>
      <c r="B236" s="15" t="s">
        <v>971</v>
      </c>
      <c r="C236" s="15" t="s">
        <v>28</v>
      </c>
      <c r="D236" s="26">
        <v>46143</v>
      </c>
      <c r="E236" s="8" t="s">
        <v>290</v>
      </c>
      <c r="F236" s="12" t="s">
        <v>60</v>
      </c>
      <c r="G236" s="8" t="s">
        <v>857</v>
      </c>
      <c r="H236" s="12" t="s">
        <v>868</v>
      </c>
      <c r="I236" s="8" t="s">
        <v>96</v>
      </c>
      <c r="J236" s="8"/>
      <c r="K236" s="8"/>
      <c r="L236" s="8" t="s">
        <v>972</v>
      </c>
      <c r="M236" s="8" t="s">
        <v>36</v>
      </c>
      <c r="N236" s="8" t="s">
        <v>37</v>
      </c>
      <c r="O236" s="31">
        <v>46143.316944444443</v>
      </c>
      <c r="P236" s="31">
        <v>46143.320949074077</v>
      </c>
      <c r="Q236" s="14">
        <f t="shared" si="0"/>
        <v>5.7666666735894978</v>
      </c>
      <c r="R236" s="31">
        <v>46143.320949074077</v>
      </c>
      <c r="S236" s="31">
        <v>46143.323055555556</v>
      </c>
      <c r="T236" s="14">
        <f t="shared" si="1"/>
        <v>3.033333329949528</v>
      </c>
      <c r="U236" s="14">
        <f t="shared" si="2"/>
        <v>8.8000000035390258</v>
      </c>
      <c r="V236" s="12" t="s">
        <v>973</v>
      </c>
      <c r="W236" s="15" t="s">
        <v>39</v>
      </c>
      <c r="X236" s="10" t="s">
        <v>40</v>
      </c>
      <c r="Y236" s="10" t="s">
        <v>41</v>
      </c>
      <c r="Z236" s="15" t="s">
        <v>42</v>
      </c>
      <c r="AA236" s="8" t="s">
        <v>518</v>
      </c>
      <c r="AB236" s="28" t="s">
        <v>29</v>
      </c>
    </row>
    <row r="237" spans="1:28" ht="28.5" x14ac:dyDescent="0.2">
      <c r="A237" s="8">
        <v>233</v>
      </c>
      <c r="B237" s="15" t="s">
        <v>974</v>
      </c>
      <c r="C237" s="15" t="s">
        <v>28</v>
      </c>
      <c r="D237" s="26">
        <v>46143</v>
      </c>
      <c r="E237" s="8" t="s">
        <v>290</v>
      </c>
      <c r="F237" s="12" t="s">
        <v>184</v>
      </c>
      <c r="G237" s="12" t="s">
        <v>55</v>
      </c>
      <c r="H237" s="12" t="s">
        <v>868</v>
      </c>
      <c r="I237" s="8" t="s">
        <v>975</v>
      </c>
      <c r="J237" s="8"/>
      <c r="K237" s="8"/>
      <c r="L237" s="8" t="s">
        <v>976</v>
      </c>
      <c r="M237" s="8" t="s">
        <v>107</v>
      </c>
      <c r="N237" s="8" t="s">
        <v>37</v>
      </c>
      <c r="O237" s="31">
        <v>46143.600416666668</v>
      </c>
      <c r="P237" s="31">
        <v>46143.602893518517</v>
      </c>
      <c r="Q237" s="14">
        <f t="shared" si="0"/>
        <v>3.5666666622273624</v>
      </c>
      <c r="R237" s="31">
        <v>46143.602893518517</v>
      </c>
      <c r="S237" s="31">
        <v>46143.60670138889</v>
      </c>
      <c r="T237" s="14">
        <f t="shared" si="1"/>
        <v>5.4833333368878812</v>
      </c>
      <c r="U237" s="14">
        <f t="shared" si="2"/>
        <v>9.0499999991152436</v>
      </c>
      <c r="V237" s="12" t="s">
        <v>866</v>
      </c>
      <c r="W237" s="15" t="s">
        <v>39</v>
      </c>
      <c r="X237" s="10" t="s">
        <v>40</v>
      </c>
      <c r="Y237" s="10" t="s">
        <v>41</v>
      </c>
      <c r="Z237" s="15" t="s">
        <v>42</v>
      </c>
      <c r="AA237" s="8" t="s">
        <v>318</v>
      </c>
      <c r="AB237" s="28" t="s">
        <v>29</v>
      </c>
    </row>
    <row r="238" spans="1:28" ht="28.5" x14ac:dyDescent="0.2">
      <c r="A238" s="8">
        <v>234</v>
      </c>
      <c r="B238" s="15" t="s">
        <v>977</v>
      </c>
      <c r="C238" s="15" t="s">
        <v>28</v>
      </c>
      <c r="D238" s="26">
        <v>46143</v>
      </c>
      <c r="E238" s="8" t="s">
        <v>254</v>
      </c>
      <c r="F238" s="12" t="s">
        <v>184</v>
      </c>
      <c r="G238" s="12" t="s">
        <v>55</v>
      </c>
      <c r="H238" s="8" t="s">
        <v>978</v>
      </c>
      <c r="I238" s="8" t="s">
        <v>979</v>
      </c>
      <c r="J238" s="8"/>
      <c r="K238" s="8"/>
      <c r="L238" s="8" t="s">
        <v>744</v>
      </c>
      <c r="M238" s="8" t="s">
        <v>107</v>
      </c>
      <c r="N238" s="8" t="s">
        <v>37</v>
      </c>
      <c r="O238" s="31">
        <v>46143.676134259258</v>
      </c>
      <c r="P238" s="31">
        <v>46143.678472222222</v>
      </c>
      <c r="Q238" s="14">
        <f t="shared" si="0"/>
        <v>3.366666667861864</v>
      </c>
      <c r="R238" s="31">
        <v>46143.699305555558</v>
      </c>
      <c r="S238" s="31">
        <v>46143.710648148146</v>
      </c>
      <c r="T238" s="14">
        <f t="shared" si="1"/>
        <v>16.333333327202126</v>
      </c>
      <c r="U238" s="14">
        <f t="shared" si="2"/>
        <v>49.69999999855645</v>
      </c>
      <c r="V238" s="28" t="s">
        <v>980</v>
      </c>
      <c r="W238" s="15" t="s">
        <v>39</v>
      </c>
      <c r="X238" s="8" t="s">
        <v>66</v>
      </c>
      <c r="Y238" s="8" t="s">
        <v>67</v>
      </c>
      <c r="Z238" s="8" t="s">
        <v>67</v>
      </c>
      <c r="AA238" s="8" t="s">
        <v>318</v>
      </c>
      <c r="AB238" s="28" t="s">
        <v>981</v>
      </c>
    </row>
    <row r="239" spans="1:28" ht="28.5" x14ac:dyDescent="0.2">
      <c r="A239" s="8">
        <v>235</v>
      </c>
      <c r="B239" s="21" t="s">
        <v>982</v>
      </c>
      <c r="C239" s="15" t="s">
        <v>28</v>
      </c>
      <c r="D239" s="26">
        <v>46144</v>
      </c>
      <c r="E239" s="8" t="s">
        <v>290</v>
      </c>
      <c r="F239" s="12" t="s">
        <v>184</v>
      </c>
      <c r="G239" s="12" t="s">
        <v>55</v>
      </c>
      <c r="H239" s="12" t="s">
        <v>868</v>
      </c>
      <c r="I239" s="8" t="s">
        <v>363</v>
      </c>
      <c r="J239" s="8"/>
      <c r="K239" s="8" t="s">
        <v>364</v>
      </c>
      <c r="L239" s="8" t="s">
        <v>365</v>
      </c>
      <c r="M239" s="8" t="s">
        <v>107</v>
      </c>
      <c r="N239" s="8" t="s">
        <v>37</v>
      </c>
      <c r="O239" s="31">
        <v>46144.42900462963</v>
      </c>
      <c r="P239" s="31">
        <v>46144.432060185187</v>
      </c>
      <c r="Q239" s="14">
        <f t="shared" si="0"/>
        <v>4.4000000017695129</v>
      </c>
      <c r="R239" s="31">
        <v>46144.432060185187</v>
      </c>
      <c r="S239" s="31">
        <v>46144.433182870373</v>
      </c>
      <c r="T239" s="14">
        <f t="shared" si="1"/>
        <v>1.6166666673962027</v>
      </c>
      <c r="U239" s="14">
        <f t="shared" si="2"/>
        <v>6.0166666691657156</v>
      </c>
      <c r="V239" s="12" t="s">
        <v>866</v>
      </c>
      <c r="W239" s="15" t="s">
        <v>39</v>
      </c>
      <c r="X239" s="10" t="s">
        <v>40</v>
      </c>
      <c r="Y239" s="10" t="s">
        <v>41</v>
      </c>
      <c r="Z239" s="15" t="s">
        <v>42</v>
      </c>
      <c r="AA239" s="8" t="s">
        <v>318</v>
      </c>
      <c r="AB239" s="28" t="s">
        <v>29</v>
      </c>
    </row>
    <row r="240" spans="1:28" ht="28.5" x14ac:dyDescent="0.2">
      <c r="A240" s="8">
        <v>236</v>
      </c>
      <c r="B240" s="15" t="s">
        <v>983</v>
      </c>
      <c r="C240" s="15" t="s">
        <v>28</v>
      </c>
      <c r="D240" s="26">
        <v>46144</v>
      </c>
      <c r="E240" s="8" t="s">
        <v>254</v>
      </c>
      <c r="F240" s="12" t="s">
        <v>184</v>
      </c>
      <c r="G240" s="12" t="s">
        <v>55</v>
      </c>
      <c r="H240" s="8" t="s">
        <v>984</v>
      </c>
      <c r="I240" s="8" t="s">
        <v>979</v>
      </c>
      <c r="J240" s="8"/>
      <c r="K240" s="8"/>
      <c r="L240" s="8" t="s">
        <v>744</v>
      </c>
      <c r="M240" s="8" t="s">
        <v>107</v>
      </c>
      <c r="N240" s="8" t="s">
        <v>37</v>
      </c>
      <c r="O240" s="31">
        <v>46144.634143518517</v>
      </c>
      <c r="P240" s="31">
        <v>46144.636111111111</v>
      </c>
      <c r="Q240" s="14">
        <f t="shared" si="0"/>
        <v>2.8333333355840296</v>
      </c>
      <c r="R240" s="31">
        <v>46144.65625</v>
      </c>
      <c r="S240" s="31">
        <v>46144.66547453704</v>
      </c>
      <c r="T240" s="14">
        <f t="shared" si="1"/>
        <v>13.283333337167278</v>
      </c>
      <c r="U240" s="14">
        <f t="shared" si="2"/>
        <v>45.116666672984138</v>
      </c>
      <c r="V240" s="28" t="s">
        <v>985</v>
      </c>
      <c r="W240" s="15" t="s">
        <v>39</v>
      </c>
      <c r="X240" s="8" t="s">
        <v>66</v>
      </c>
      <c r="Y240" s="8" t="s">
        <v>67</v>
      </c>
      <c r="Z240" s="8" t="s">
        <v>67</v>
      </c>
      <c r="AA240" s="8" t="s">
        <v>318</v>
      </c>
      <c r="AB240" s="28" t="s">
        <v>833</v>
      </c>
    </row>
    <row r="241" spans="1:28" ht="28.5" x14ac:dyDescent="0.2">
      <c r="A241" s="8">
        <v>237</v>
      </c>
      <c r="B241" s="15" t="s">
        <v>986</v>
      </c>
      <c r="C241" s="15" t="s">
        <v>28</v>
      </c>
      <c r="D241" s="26">
        <v>46144</v>
      </c>
      <c r="E241" s="8" t="s">
        <v>254</v>
      </c>
      <c r="F241" s="12" t="s">
        <v>184</v>
      </c>
      <c r="G241" s="12" t="s">
        <v>55</v>
      </c>
      <c r="H241" s="8" t="s">
        <v>987</v>
      </c>
      <c r="I241" s="8" t="s">
        <v>979</v>
      </c>
      <c r="J241" s="8"/>
      <c r="K241" s="8"/>
      <c r="L241" s="8" t="s">
        <v>744</v>
      </c>
      <c r="M241" s="8" t="s">
        <v>107</v>
      </c>
      <c r="N241" s="8" t="s">
        <v>37</v>
      </c>
      <c r="O241" s="31">
        <v>46144.831030092595</v>
      </c>
      <c r="P241" s="31">
        <v>46144.832638888889</v>
      </c>
      <c r="Q241" s="14">
        <f t="shared" si="0"/>
        <v>2.3166666633915156</v>
      </c>
      <c r="R241" s="31">
        <v>46144.839583333334</v>
      </c>
      <c r="S241" s="31">
        <v>46144.893495370372</v>
      </c>
      <c r="T241" s="14">
        <f t="shared" si="1"/>
        <v>77.633333334233612</v>
      </c>
      <c r="U241" s="14">
        <f t="shared" si="2"/>
        <v>89.949999998789281</v>
      </c>
      <c r="V241" s="28" t="s">
        <v>988</v>
      </c>
      <c r="W241" s="15" t="s">
        <v>39</v>
      </c>
      <c r="X241" s="8" t="s">
        <v>66</v>
      </c>
      <c r="Y241" s="8" t="s">
        <v>67</v>
      </c>
      <c r="Z241" s="8" t="s">
        <v>67</v>
      </c>
      <c r="AA241" s="8" t="s">
        <v>318</v>
      </c>
      <c r="AB241" s="28" t="s">
        <v>711</v>
      </c>
    </row>
  </sheetData>
  <autoFilter ref="A1:AB175" xr:uid="{00000000-0009-0000-0000-000000000000}"/>
  <mergeCells count="15">
    <mergeCell ref="Y145:Y149"/>
    <mergeCell ref="Z145:Z149"/>
    <mergeCell ref="AA145:AA149"/>
    <mergeCell ref="V133:V139"/>
    <mergeCell ref="A145:A149"/>
    <mergeCell ref="B145:B149"/>
    <mergeCell ref="C145:C149"/>
    <mergeCell ref="D145:D149"/>
    <mergeCell ref="E145:E149"/>
    <mergeCell ref="F145:F149"/>
    <mergeCell ref="G145:G149"/>
    <mergeCell ref="H145:H149"/>
    <mergeCell ref="V145:V149"/>
    <mergeCell ref="W145:W149"/>
    <mergeCell ref="X145:X149"/>
  </mergeCells>
  <dataValidations count="1">
    <dataValidation type="list" allowBlank="1" showErrorMessage="1" sqref="N2:N241" xr:uid="{00000000-0002-0000-0000-000000000000}">
      <formula1>"Low,Medium,High,Critical,Major"</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5703125" defaultRowHeight="1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5703125" defaultRowHeight="1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WAN</vt:lpstr>
      <vt:lpstr>SLA Week</vt:lpstr>
      <vt:lpstr>SLA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Chanaka Dinesh</cp:lastModifiedBy>
  <dcterms:modified xsi:type="dcterms:W3CDTF">2026-05-03T07:29:33Z</dcterms:modified>
</cp:coreProperties>
</file>